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hyang\Desktop\Fund Analysis Files\"/>
    </mc:Choice>
  </mc:AlternateContent>
  <xr:revisionPtr revIDLastSave="0" documentId="13_ncr:1_{C393767D-CD26-47E1-B893-50311924ABC2}" xr6:coauthVersionLast="46" xr6:coauthVersionMax="46" xr10:uidLastSave="{00000000-0000-0000-0000-000000000000}"/>
  <bookViews>
    <workbookView xWindow="-110" yWindow="-110" windowWidth="19420" windowHeight="10420" xr2:uid="{F2533CBC-4F39-476A-9015-3D4436BEA103}"/>
  </bookViews>
  <sheets>
    <sheet name="Market Cap Analysis" sheetId="1" r:id="rId1"/>
    <sheet name="Sheet2" sheetId="2" r:id="rId2"/>
  </sheets>
  <externalReferences>
    <externalReference r:id="rId3"/>
  </externalReferences>
  <definedNames>
    <definedName name="_xlnm.Print_Area" localSheetId="0">'Market Cap Analysis'!$B$1:$Q$63</definedName>
    <definedName name="Slicer_Small_Cap">#N/A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3" i="1" l="1"/>
  <c r="C33" i="1"/>
  <c r="E33" i="1" s="1"/>
  <c r="Q41" i="1" l="1"/>
  <c r="P41" i="1"/>
  <c r="O41" i="1"/>
  <c r="N41" i="1"/>
  <c r="M41" i="1"/>
  <c r="K41" i="1"/>
  <c r="J41" i="1"/>
  <c r="I41" i="1"/>
  <c r="H41" i="1"/>
  <c r="Q40" i="1"/>
  <c r="P40" i="1"/>
  <c r="O40" i="1"/>
  <c r="N40" i="1"/>
  <c r="M40" i="1"/>
  <c r="K40" i="1"/>
  <c r="J40" i="1"/>
  <c r="I40" i="1"/>
  <c r="H40" i="1"/>
  <c r="Q39" i="1"/>
  <c r="P39" i="1"/>
  <c r="O39" i="1"/>
  <c r="N39" i="1"/>
  <c r="M39" i="1"/>
  <c r="K39" i="1"/>
  <c r="J39" i="1"/>
  <c r="I39" i="1"/>
  <c r="H39" i="1"/>
  <c r="Q38" i="1"/>
  <c r="P38" i="1"/>
  <c r="O38" i="1"/>
  <c r="N38" i="1"/>
  <c r="M38" i="1"/>
  <c r="K38" i="1"/>
  <c r="J38" i="1"/>
  <c r="I38" i="1"/>
  <c r="H38" i="1"/>
  <c r="Q37" i="1"/>
  <c r="P37" i="1"/>
  <c r="O37" i="1"/>
  <c r="N37" i="1"/>
  <c r="M37" i="1"/>
  <c r="K37" i="1"/>
  <c r="J37" i="1"/>
  <c r="I37" i="1"/>
  <c r="H37" i="1"/>
  <c r="Q36" i="1"/>
  <c r="P36" i="1"/>
  <c r="O36" i="1"/>
  <c r="N36" i="1"/>
  <c r="M36" i="1"/>
  <c r="K36" i="1"/>
  <c r="J36" i="1"/>
  <c r="I36" i="1"/>
  <c r="H36" i="1"/>
  <c r="Q35" i="1"/>
  <c r="P35" i="1"/>
  <c r="O35" i="1"/>
  <c r="N35" i="1"/>
  <c r="M35" i="1"/>
  <c r="K35" i="1"/>
  <c r="J35" i="1"/>
  <c r="I35" i="1"/>
  <c r="H35" i="1"/>
  <c r="Q34" i="1"/>
  <c r="P34" i="1"/>
  <c r="O34" i="1"/>
  <c r="N34" i="1"/>
  <c r="M34" i="1"/>
  <c r="K34" i="1"/>
  <c r="J34" i="1"/>
  <c r="I34" i="1"/>
  <c r="H34" i="1"/>
  <c r="Q33" i="1"/>
  <c r="P33" i="1"/>
  <c r="O33" i="1"/>
  <c r="N33" i="1"/>
  <c r="M33" i="1"/>
  <c r="K33" i="1"/>
  <c r="J33" i="1"/>
  <c r="I33" i="1"/>
  <c r="H33" i="1"/>
  <c r="Q32" i="1"/>
  <c r="P32" i="1"/>
  <c r="O32" i="1"/>
  <c r="N32" i="1"/>
  <c r="M32" i="1"/>
  <c r="K32" i="1"/>
  <c r="J32" i="1"/>
  <c r="I32" i="1"/>
  <c r="H32" i="1"/>
  <c r="Q31" i="1"/>
  <c r="P31" i="1"/>
  <c r="O31" i="1"/>
  <c r="N31" i="1"/>
  <c r="M31" i="1"/>
  <c r="K31" i="1"/>
  <c r="J31" i="1"/>
  <c r="I31" i="1"/>
  <c r="H31" i="1"/>
  <c r="Q30" i="1"/>
  <c r="P30" i="1"/>
  <c r="O30" i="1"/>
  <c r="N30" i="1"/>
  <c r="M30" i="1"/>
  <c r="K30" i="1"/>
  <c r="J30" i="1"/>
  <c r="I30" i="1"/>
  <c r="H30" i="1"/>
  <c r="Q29" i="1"/>
  <c r="P29" i="1"/>
  <c r="O29" i="1"/>
  <c r="N29" i="1"/>
  <c r="M29" i="1"/>
  <c r="K29" i="1"/>
  <c r="J29" i="1"/>
  <c r="I29" i="1"/>
  <c r="H29" i="1"/>
  <c r="Q28" i="1"/>
  <c r="P28" i="1"/>
  <c r="O28" i="1"/>
  <c r="N28" i="1"/>
  <c r="M28" i="1"/>
  <c r="K28" i="1"/>
  <c r="J28" i="1"/>
  <c r="I28" i="1"/>
  <c r="H28" i="1"/>
  <c r="Q27" i="1"/>
  <c r="P27" i="1"/>
  <c r="O27" i="1"/>
  <c r="N27" i="1"/>
  <c r="M27" i="1"/>
  <c r="K27" i="1"/>
  <c r="J27" i="1"/>
  <c r="I27" i="1"/>
  <c r="H27" i="1"/>
  <c r="Q26" i="1"/>
  <c r="P26" i="1"/>
  <c r="O26" i="1"/>
  <c r="N26" i="1"/>
  <c r="M26" i="1"/>
  <c r="K26" i="1"/>
  <c r="J26" i="1"/>
  <c r="I26" i="1"/>
  <c r="H26" i="1"/>
  <c r="Q25" i="1"/>
  <c r="P25" i="1"/>
  <c r="O25" i="1"/>
  <c r="N25" i="1"/>
  <c r="M25" i="1"/>
  <c r="K25" i="1"/>
  <c r="J25" i="1"/>
  <c r="I25" i="1"/>
  <c r="H25" i="1"/>
</calcChain>
</file>

<file path=xl/sharedStrings.xml><?xml version="1.0" encoding="utf-8"?>
<sst xmlns="http://schemas.openxmlformats.org/spreadsheetml/2006/main" count="105" uniqueCount="52">
  <si>
    <t>Market Cap Analysis</t>
  </si>
  <si>
    <t>Market Cap Breakdown</t>
  </si>
  <si>
    <t>Tracking Error</t>
  </si>
  <si>
    <t>Information Ratio</t>
  </si>
  <si>
    <t>Strategies</t>
  </si>
  <si>
    <t>Small Cap</t>
  </si>
  <si>
    <t>Mid Cap</t>
  </si>
  <si>
    <t>Large Cap</t>
  </si>
  <si>
    <t>1 Yr</t>
  </si>
  <si>
    <t>3 Yrs</t>
  </si>
  <si>
    <t>5 Yrs</t>
  </si>
  <si>
    <t>7 Yrs</t>
  </si>
  <si>
    <t>10 Yrs</t>
  </si>
  <si>
    <t>MXWO</t>
  </si>
  <si>
    <t>Suggested Benchmark</t>
  </si>
  <si>
    <t>Notes</t>
  </si>
  <si>
    <t>MXWD</t>
  </si>
  <si>
    <t>Global sustainable equity strategy launched only in December last year while global equity strategy has a long history.</t>
  </si>
  <si>
    <t>Manager Benchmark</t>
  </si>
  <si>
    <t>MSCI ACWI</t>
  </si>
  <si>
    <t>MSCI World</t>
  </si>
  <si>
    <t>MXWDIM</t>
  </si>
  <si>
    <t>MSCI Kokusai</t>
  </si>
  <si>
    <t>Manager has no benchmark</t>
  </si>
  <si>
    <t xml:space="preserve">Thematic strategy - Ecology Fund </t>
  </si>
  <si>
    <t>Small Cap (&lt;$2bn)</t>
  </si>
  <si>
    <t>Mid Cap (&lt;$10bn,&gt;$2bn)</t>
  </si>
  <si>
    <t>Large Cap (&gt;$2bn)</t>
  </si>
  <si>
    <t xml:space="preserve">Thematic strategy - Water Fund </t>
  </si>
  <si>
    <t>EM&amp;Frontier Strategy</t>
  </si>
  <si>
    <t>FTSE ET100</t>
  </si>
  <si>
    <t>65% MSCI Emerging Markets Index / 35% MSCI Frontier Markets Index</t>
  </si>
  <si>
    <t>A</t>
  </si>
  <si>
    <t>B</t>
  </si>
  <si>
    <t>C</t>
  </si>
  <si>
    <t>D</t>
  </si>
  <si>
    <t>E</t>
  </si>
  <si>
    <t>F</t>
  </si>
  <si>
    <t>G</t>
  </si>
  <si>
    <t>H</t>
  </si>
  <si>
    <t>I</t>
  </si>
  <si>
    <t>J</t>
  </si>
  <si>
    <t>K</t>
  </si>
  <si>
    <t>L</t>
  </si>
  <si>
    <t>M</t>
  </si>
  <si>
    <t>N</t>
  </si>
  <si>
    <t>O</t>
  </si>
  <si>
    <t>P</t>
  </si>
  <si>
    <t>Q</t>
  </si>
  <si>
    <t>R</t>
  </si>
  <si>
    <t>S</t>
  </si>
  <si>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</sst>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theme="1"/>
      <name val="Arial"/>
      <family val="2"/>
    </font>
    <font>
      <b/>
      <sz val="12"/>
      <color theme="0"/>
      <name val="Arial"/>
      <family val="2"/>
    </font>
    <font>
      <b/>
      <sz val="11"/>
      <color theme="1"/>
      <name val="Arial"/>
      <family val="2"/>
    </font>
    <font>
      <b/>
      <sz val="10"/>
      <color theme="0"/>
      <name val="Arial"/>
      <family val="2"/>
    </font>
    <font>
      <sz val="10"/>
      <color theme="1"/>
      <name val="Arial"/>
      <family val="2"/>
    </font>
    <font>
      <sz val="10"/>
      <name val="Arial"/>
      <family val="2"/>
    </font>
    <font>
      <b/>
      <sz val="10"/>
      <color theme="1"/>
      <name val="Arial"/>
      <family val="2"/>
    </font>
    <font>
      <i/>
      <sz val="10"/>
      <name val="Arial"/>
      <family val="2"/>
    </font>
  </fonts>
  <fills count="5">
    <fill>
      <patternFill patternType="none"/>
    </fill>
    <fill>
      <patternFill patternType="gray125"/>
    </fill>
    <fill>
      <patternFill patternType="solid">
        <fgColor theme="8"/>
      </patternFill>
    </fill>
    <fill>
      <patternFill patternType="solid">
        <fgColor theme="4" tint="-0.499984740745262"/>
        <bgColor indexed="64"/>
      </patternFill>
    </fill>
    <fill>
      <patternFill patternType="solid">
        <fgColor theme="0" tint="-0.14999847407452621"/>
        <bgColor indexed="64"/>
      </patternFill>
    </fill>
  </fills>
  <borders count="11">
    <border>
      <left/>
      <right/>
      <top/>
      <bottom/>
      <diagonal/>
    </border>
    <border>
      <left/>
      <right/>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auto="1"/>
      </bottom>
      <diagonal/>
    </border>
    <border>
      <left/>
      <right style="thin">
        <color indexed="64"/>
      </right>
      <top/>
      <bottom style="thin">
        <color auto="1"/>
      </bottom>
      <diagonal/>
    </border>
    <border>
      <left/>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9" fontId="1" fillId="0" borderId="0" applyFont="0" applyFill="0" applyBorder="0" applyAlignment="0" applyProtection="0"/>
    <xf numFmtId="0" fontId="2" fillId="2" borderId="0" applyNumberFormat="0" applyBorder="0" applyAlignment="0" applyProtection="0"/>
  </cellStyleXfs>
  <cellXfs count="37">
    <xf numFmtId="0" fontId="0" fillId="0" borderId="0" xfId="0"/>
    <xf numFmtId="0" fontId="3" fillId="0" borderId="0" xfId="0" applyFont="1"/>
    <xf numFmtId="0" fontId="5" fillId="0" borderId="0" xfId="0" applyFont="1"/>
    <xf numFmtId="0" fontId="7" fillId="0" borderId="0" xfId="0" applyFont="1"/>
    <xf numFmtId="0" fontId="8" fillId="0" borderId="0" xfId="0" applyFont="1" applyFill="1" applyBorder="1" applyAlignment="1">
      <alignment horizontal="left"/>
    </xf>
    <xf numFmtId="9" fontId="8" fillId="0" borderId="0" xfId="1" applyFont="1" applyFill="1" applyBorder="1"/>
    <xf numFmtId="0" fontId="8" fillId="0" borderId="0" xfId="2" applyFont="1" applyFill="1" applyBorder="1" applyAlignment="1">
      <alignment horizontal="left"/>
    </xf>
    <xf numFmtId="2" fontId="7" fillId="0" borderId="1" xfId="0" applyNumberFormat="1" applyFont="1" applyBorder="1"/>
    <xf numFmtId="2" fontId="7" fillId="4" borderId="1" xfId="0" applyNumberFormat="1" applyFont="1" applyFill="1" applyBorder="1"/>
    <xf numFmtId="0" fontId="8" fillId="0" borderId="1" xfId="0" applyFont="1" applyFill="1" applyBorder="1" applyAlignment="1">
      <alignment horizontal="left"/>
    </xf>
    <xf numFmtId="9" fontId="8" fillId="0" borderId="1" xfId="1" applyFont="1" applyFill="1" applyBorder="1"/>
    <xf numFmtId="2" fontId="7" fillId="0" borderId="0" xfId="0" applyNumberFormat="1" applyFont="1" applyBorder="1"/>
    <xf numFmtId="2" fontId="7" fillId="4" borderId="0" xfId="0" applyNumberFormat="1" applyFont="1" applyFill="1" applyBorder="1"/>
    <xf numFmtId="2" fontId="7" fillId="4" borderId="5" xfId="0" applyNumberFormat="1" applyFont="1" applyFill="1" applyBorder="1"/>
    <xf numFmtId="2" fontId="7" fillId="0" borderId="5" xfId="0" applyNumberFormat="1" applyFont="1" applyBorder="1"/>
    <xf numFmtId="2" fontId="7" fillId="4" borderId="7" xfId="0" applyNumberFormat="1" applyFont="1" applyFill="1" applyBorder="1"/>
    <xf numFmtId="0" fontId="6" fillId="3" borderId="8" xfId="0" applyFont="1" applyFill="1" applyBorder="1" applyAlignment="1">
      <alignment horizontal="left"/>
    </xf>
    <xf numFmtId="0" fontId="6" fillId="3" borderId="8" xfId="0" applyFont="1" applyFill="1" applyBorder="1" applyAlignment="1">
      <alignment horizontal="right"/>
    </xf>
    <xf numFmtId="2" fontId="7" fillId="0" borderId="4" xfId="0" applyNumberFormat="1" applyFont="1" applyBorder="1"/>
    <xf numFmtId="2" fontId="7" fillId="4" borderId="4" xfId="0" applyNumberFormat="1" applyFont="1" applyFill="1" applyBorder="1"/>
    <xf numFmtId="2" fontId="7" fillId="0" borderId="6" xfId="0" applyNumberFormat="1" applyFont="1" applyBorder="1"/>
    <xf numFmtId="0" fontId="7" fillId="0" borderId="5" xfId="0" applyFont="1" applyBorder="1"/>
    <xf numFmtId="0" fontId="7" fillId="0" borderId="10" xfId="0" applyFont="1" applyBorder="1"/>
    <xf numFmtId="0" fontId="9" fillId="0" borderId="5" xfId="0" applyFont="1" applyBorder="1"/>
    <xf numFmtId="0" fontId="6" fillId="3" borderId="9" xfId="0" applyFont="1" applyFill="1" applyBorder="1" applyAlignment="1">
      <alignment horizontal="right"/>
    </xf>
    <xf numFmtId="0" fontId="6" fillId="3" borderId="2" xfId="0" applyFont="1" applyFill="1" applyBorder="1" applyAlignment="1">
      <alignment horizontal="right"/>
    </xf>
    <xf numFmtId="0" fontId="6" fillId="3" borderId="3" xfId="0" applyFont="1" applyFill="1" applyBorder="1" applyAlignment="1">
      <alignment horizontal="right"/>
    </xf>
    <xf numFmtId="0" fontId="9" fillId="0" borderId="10" xfId="0" applyFont="1" applyBorder="1"/>
    <xf numFmtId="9" fontId="8" fillId="0" borderId="0" xfId="1" applyFont="1" applyFill="1"/>
    <xf numFmtId="0" fontId="6" fillId="3" borderId="8" xfId="0" applyFont="1" applyFill="1" applyBorder="1"/>
    <xf numFmtId="9" fontId="8" fillId="0" borderId="0" xfId="1" applyFont="1" applyFill="1" applyAlignment="1">
      <alignment wrapText="1"/>
    </xf>
    <xf numFmtId="0" fontId="8" fillId="0" borderId="0" xfId="2" applyFont="1" applyFill="1" applyAlignment="1">
      <alignment horizontal="left"/>
    </xf>
    <xf numFmtId="9" fontId="8" fillId="0" borderId="0" xfId="1" applyFont="1" applyFill="1" applyAlignment="1">
      <alignment horizontal="right"/>
    </xf>
    <xf numFmtId="9" fontId="10" fillId="0" borderId="0" xfId="1" applyFont="1" applyFill="1"/>
    <xf numFmtId="0" fontId="5" fillId="0" borderId="0" xfId="0" applyFont="1" applyBorder="1" applyAlignment="1">
      <alignment horizontal="center"/>
    </xf>
    <xf numFmtId="0" fontId="5" fillId="0" borderId="0" xfId="0" applyFont="1" applyAlignment="1">
      <alignment horizontal="center"/>
    </xf>
    <xf numFmtId="0" fontId="4" fillId="3" borderId="0" xfId="0" applyFont="1" applyFill="1" applyAlignment="1">
      <alignment horizontal="center"/>
    </xf>
  </cellXfs>
  <cellStyles count="3">
    <cellStyle name="Accent5" xfId="2" builtinId="45"/>
    <cellStyle name="Normal" xfId="0" builtinId="0"/>
    <cellStyle name="Percent" xfId="1" builtinId="5"/>
  </cellStyles>
  <dxfs count="19">
    <dxf>
      <font>
        <b val="0"/>
        <i val="0"/>
        <strike val="0"/>
        <condense val="0"/>
        <extend val="0"/>
        <outline val="0"/>
        <shadow val="0"/>
        <u val="none"/>
        <vertAlign val="baseline"/>
        <sz val="10"/>
        <color auto="1"/>
        <name val="Arial"/>
        <family val="2"/>
        <scheme val="none"/>
      </font>
      <fill>
        <patternFill patternType="none">
          <fgColor indexed="64"/>
          <bgColor auto="1"/>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auto="1"/>
        </patternFill>
      </fill>
    </dxf>
    <dxf>
      <font>
        <b val="0"/>
        <i val="0"/>
        <strike val="0"/>
        <condense val="0"/>
        <extend val="0"/>
        <outline val="0"/>
        <shadow val="0"/>
        <u val="none"/>
        <vertAlign val="baseline"/>
        <sz val="10"/>
        <color auto="1"/>
        <name val="Arial"/>
        <family val="2"/>
        <scheme val="none"/>
      </font>
      <fill>
        <patternFill patternType="none">
          <fgColor indexed="64"/>
          <bgColor auto="1"/>
        </patternFill>
      </fill>
    </dxf>
    <dxf>
      <font>
        <b val="0"/>
        <i val="0"/>
        <strike val="0"/>
        <condense val="0"/>
        <extend val="0"/>
        <outline val="0"/>
        <shadow val="0"/>
        <u val="none"/>
        <vertAlign val="baseline"/>
        <sz val="10"/>
        <color auto="1"/>
        <name val="Arial"/>
        <family val="2"/>
        <scheme val="none"/>
      </font>
      <fill>
        <patternFill patternType="none">
          <fgColor indexed="64"/>
          <bgColor auto="1"/>
        </patternFill>
      </fill>
    </dxf>
    <dxf>
      <font>
        <b val="0"/>
        <i val="0"/>
        <strike val="0"/>
        <condense val="0"/>
        <extend val="0"/>
        <outline val="0"/>
        <shadow val="0"/>
        <u val="none"/>
        <vertAlign val="baseline"/>
        <sz val="10"/>
        <color auto="1"/>
        <name val="Arial"/>
        <family val="2"/>
        <scheme val="none"/>
      </font>
      <fill>
        <patternFill patternType="none">
          <fgColor indexed="64"/>
          <bgColor auto="1"/>
        </patternFill>
      </fill>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dxf>
    <dxf>
      <border diagonalUp="0" diagonalDown="0">
        <left style="thin">
          <color indexed="64"/>
        </left>
        <right style="thin">
          <color indexed="64"/>
        </right>
        <top style="thin">
          <color indexed="64"/>
        </top>
        <bottom style="thin">
          <color auto="1"/>
        </bottom>
      </border>
    </dxf>
    <dxf>
      <font>
        <strike val="0"/>
        <outline val="0"/>
        <shadow val="0"/>
        <u val="none"/>
        <vertAlign val="baseline"/>
        <sz val="10"/>
        <color auto="1"/>
        <name val="Arial"/>
        <family val="2"/>
        <scheme val="none"/>
      </font>
      <fill>
        <patternFill patternType="none">
          <fgColor indexed="64"/>
          <bgColor auto="1"/>
        </patternFill>
      </fill>
    </dxf>
    <dxf>
      <border>
        <bottom style="double">
          <color indexed="64"/>
        </bottom>
      </border>
    </dxf>
    <dxf>
      <font>
        <b/>
        <strike val="0"/>
        <outline val="0"/>
        <shadow val="0"/>
        <u val="none"/>
        <vertAlign val="baseline"/>
        <sz val="10"/>
        <color theme="0"/>
        <name val="Arial"/>
        <family val="2"/>
        <scheme val="none"/>
      </font>
      <fill>
        <patternFill patternType="solid">
          <fgColor indexed="64"/>
          <bgColor theme="4" tint="-0.499984740745262"/>
        </patternFill>
      </fill>
    </dxf>
    <dxf>
      <font>
        <b val="0"/>
        <i val="0"/>
        <strike val="0"/>
        <condense val="0"/>
        <extend val="0"/>
        <outline val="0"/>
        <shadow val="0"/>
        <u val="none"/>
        <vertAlign val="baseline"/>
        <sz val="10"/>
        <color auto="1"/>
        <name val="Arial"/>
        <family val="2"/>
        <scheme val="none"/>
      </font>
      <fill>
        <patternFill patternType="none">
          <fgColor indexed="64"/>
          <bgColor auto="1"/>
        </patternFill>
      </fill>
    </dxf>
    <dxf>
      <font>
        <b val="0"/>
        <i val="0"/>
        <strike val="0"/>
        <condense val="0"/>
        <extend val="0"/>
        <outline val="0"/>
        <shadow val="0"/>
        <u val="none"/>
        <vertAlign val="baseline"/>
        <sz val="10"/>
        <color auto="1"/>
        <name val="Arial"/>
        <family val="2"/>
        <scheme val="none"/>
      </font>
      <fill>
        <patternFill patternType="none">
          <fgColor indexed="64"/>
          <bgColor auto="1"/>
        </patternFill>
      </fill>
    </dxf>
    <dxf>
      <font>
        <b val="0"/>
        <i val="0"/>
        <strike val="0"/>
        <condense val="0"/>
        <extend val="0"/>
        <outline val="0"/>
        <shadow val="0"/>
        <u val="none"/>
        <vertAlign val="baseline"/>
        <sz val="10"/>
        <color auto="1"/>
        <name val="Arial"/>
        <family val="2"/>
        <scheme val="none"/>
      </font>
      <fill>
        <patternFill patternType="none">
          <fgColor indexed="64"/>
          <bgColor auto="1"/>
        </patternFill>
      </fill>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dxf>
    <dxf>
      <border diagonalUp="0" diagonalDown="0">
        <left style="thin">
          <color indexed="64"/>
        </left>
        <right style="thin">
          <color indexed="64"/>
        </right>
        <top style="thin">
          <color indexed="64"/>
        </top>
        <bottom style="thin">
          <color auto="1"/>
        </bottom>
      </border>
    </dxf>
    <dxf>
      <font>
        <strike val="0"/>
        <outline val="0"/>
        <shadow val="0"/>
        <u val="none"/>
        <vertAlign val="baseline"/>
        <sz val="10"/>
        <color auto="1"/>
        <name val="Arial"/>
        <family val="2"/>
        <scheme val="none"/>
      </font>
      <fill>
        <patternFill patternType="none">
          <fgColor indexed="64"/>
          <bgColor auto="1"/>
        </patternFill>
      </fill>
    </dxf>
    <dxf>
      <border>
        <bottom style="double">
          <color indexed="64"/>
        </bottom>
      </border>
    </dxf>
    <dxf>
      <font>
        <b/>
        <strike val="0"/>
        <outline val="0"/>
        <shadow val="0"/>
        <u val="none"/>
        <vertAlign val="baseline"/>
        <sz val="10"/>
        <color theme="0"/>
        <name val="Arial"/>
        <family val="2"/>
        <scheme val="none"/>
      </font>
      <fill>
        <patternFill patternType="solid">
          <fgColor indexed="64"/>
          <bgColor theme="4"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Market</a:t>
            </a:r>
            <a:r>
              <a:rPr lang="en-US" baseline="0"/>
              <a:t> Cap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[2]Sheet2!$C$3:$C$19</c:f>
              <c:numCache>
                <c:formatCode>General</c:formatCode>
                <c:ptCount val="17"/>
                <c:pt idx="0">
                  <c:v>153.14400000000001</c:v>
                </c:pt>
                <c:pt idx="1">
                  <c:v>140.47300000000001</c:v>
                </c:pt>
                <c:pt idx="2">
                  <c:v>135.786</c:v>
                </c:pt>
                <c:pt idx="3">
                  <c:v>133.98099999999999</c:v>
                </c:pt>
                <c:pt idx="4">
                  <c:v>103.19799999999999</c:v>
                </c:pt>
                <c:pt idx="5">
                  <c:v>99.001000000000005</c:v>
                </c:pt>
                <c:pt idx="6">
                  <c:v>93.191000000000003</c:v>
                </c:pt>
                <c:pt idx="7">
                  <c:v>87.462000000000003</c:v>
                </c:pt>
                <c:pt idx="8">
                  <c:v>84.567999999999998</c:v>
                </c:pt>
                <c:pt idx="9">
                  <c:v>82.558000000000007</c:v>
                </c:pt>
                <c:pt idx="10">
                  <c:v>75.56</c:v>
                </c:pt>
                <c:pt idx="11">
                  <c:v>67.561999999999998</c:v>
                </c:pt>
                <c:pt idx="12">
                  <c:v>64.061999999999998</c:v>
                </c:pt>
                <c:pt idx="13">
                  <c:v>32.429000000000002</c:v>
                </c:pt>
                <c:pt idx="14">
                  <c:v>20.306000000000001</c:v>
                </c:pt>
                <c:pt idx="15">
                  <c:v>12.026999999999999</c:v>
                </c:pt>
                <c:pt idx="16">
                  <c:v>8.7319999999999993</c:v>
                </c:pt>
              </c:numCache>
            </c:numRef>
          </c:val>
          <c:extLst>
            <c:ext xmlns:c15="http://schemas.microsoft.com/office/drawing/2012/chart" uri="{02D57815-91ED-43cb-92C2-25804820EDAC}">
              <c15:filteredSeriesTitle>
                <c15:tx>
                  <c:strRef>
                    <c:extLst>
                      <c:ext uri="{02D57815-91ED-43cb-92C2-25804820EDAC}">
                        <c15:formulaRef>
                          <c15:sqref>[2]Sheet2!$C$2</c15:sqref>
                        </c15:formulaRef>
                      </c:ext>
                    </c:extLst>
                    <c:strCache>
                      <c:ptCount val="1"/>
                      <c:pt idx="0">
                        <c:v>Weighted Average Market Cap</c:v>
                      </c:pt>
                    </c:strCache>
                  </c:strRef>
                </c15:tx>
              </c15:filteredSeriesTitle>
            </c:ext>
            <c:ext xmlns:c15="http://schemas.microsoft.com/office/drawing/2012/chart" uri="{02D57815-91ED-43cb-92C2-25804820EDAC}">
              <c15:filteredCategoryTitle>
                <c15:cat>
                  <c:strRef>
                    <c:extLst>
                      <c:ext uri="{02D57815-91ED-43cb-92C2-25804820EDAC}">
                        <c15:formulaRef>
                          <c15:sqref>[2]Sheet2!$B$3:$B$19</c15:sqref>
                        </c15:formulaRef>
                      </c:ext>
                    </c:extLst>
                    <c:strCache>
                      <c:ptCount val="17"/>
                      <c:pt idx="0">
                        <c:v>Calvert</c:v>
                      </c:pt>
                      <c:pt idx="1">
                        <c:v>BlackRock (Alpha Tilts)</c:v>
                      </c:pt>
                      <c:pt idx="2">
                        <c:v>Acadian</c:v>
                      </c:pt>
                      <c:pt idx="3">
                        <c:v>Neuberger</c:v>
                      </c:pt>
                      <c:pt idx="4">
                        <c:v>Columbia (Sustainable)</c:v>
                      </c:pt>
                      <c:pt idx="5">
                        <c:v>Amundi-CPR</c:v>
                      </c:pt>
                      <c:pt idx="6">
                        <c:v>GSAM (GEP)</c:v>
                      </c:pt>
                      <c:pt idx="7">
                        <c:v>Amundi</c:v>
                      </c:pt>
                      <c:pt idx="8">
                        <c:v>PanAgora</c:v>
                      </c:pt>
                      <c:pt idx="9">
                        <c:v>Amundi - KBIGI (Developed Equity)</c:v>
                      </c:pt>
                      <c:pt idx="10">
                        <c:v>BlackRock (BSF)</c:v>
                      </c:pt>
                      <c:pt idx="11">
                        <c:v>Ownership</c:v>
                      </c:pt>
                      <c:pt idx="12">
                        <c:v>Aberdeen</c:v>
                      </c:pt>
                      <c:pt idx="13">
                        <c:v>Arabesque (Systematic)</c:v>
                      </c:pt>
                      <c:pt idx="14">
                        <c:v>GSAM (EME)</c:v>
                      </c:pt>
                      <c:pt idx="15">
                        <c:v>Jupiter</c:v>
                      </c:pt>
                      <c:pt idx="16">
                        <c:v>Amundi - KBIGI (Water)</c:v>
                      </c:pt>
                    </c:strCache>
                  </c:strRef>
                </c15:cat>
              </c15:filteredCategoryTitle>
            </c:ext>
            <c:ext xmlns:c16="http://schemas.microsoft.com/office/drawing/2014/chart" uri="{C3380CC4-5D6E-409C-BE32-E72D297353CC}">
              <c16:uniqueId val="{00000000-F9C7-474A-B908-FA775A2890D0}"/>
            </c:ext>
          </c:extLst>
        </c:ser>
        <c:dLbls>
          <c:showLegendKey val="0"/>
          <c:showVal val="0"/>
          <c:showCatName val="0"/>
          <c:showSerName val="0"/>
          <c:showPercent val="0"/>
          <c:showBubbleSize val="0"/>
        </c:dLbls>
        <c:gapWidth val="219"/>
        <c:overlap val="-27"/>
        <c:axId val="1405334048"/>
        <c:axId val="1265915792"/>
      </c:barChart>
      <c:catAx>
        <c:axId val="140533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65915792"/>
        <c:crosses val="autoZero"/>
        <c:auto val="1"/>
        <c:lblAlgn val="ctr"/>
        <c:lblOffset val="100"/>
        <c:noMultiLvlLbl val="0"/>
      </c:catAx>
      <c:valAx>
        <c:axId val="126591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05334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Market Cap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40998094093457177"/>
          <c:y val="0.12696614464355555"/>
          <c:w val="0.55850767812272628"/>
          <c:h val="0.71189267677073975"/>
        </c:manualLayout>
      </c:layout>
      <c:barChart>
        <c:barDir val="bar"/>
        <c:grouping val="stacked"/>
        <c:varyColors val="0"/>
        <c:ser>
          <c:idx val="0"/>
          <c:order val="0"/>
          <c:tx>
            <c:strRef>
              <c:f>'Market Cap Analysis'!$C$24</c:f>
              <c:strCache>
                <c:ptCount val="1"/>
                <c:pt idx="0">
                  <c:v>Small Cap</c:v>
                </c:pt>
              </c:strCache>
            </c:strRef>
          </c:tx>
          <c:spPr>
            <a:solidFill>
              <a:schemeClr val="accent1"/>
            </a:solidFill>
            <a:ln>
              <a:noFill/>
            </a:ln>
            <a:effectLst/>
          </c:spPr>
          <c:invertIfNegative val="0"/>
          <c:cat>
            <c:strRef>
              <c:f>'Market Cap Analysis'!$B$25:$B$41</c:f>
              <c:strCache>
                <c:ptCount val="17"/>
                <c:pt idx="0">
                  <c:v>A</c:v>
                </c:pt>
                <c:pt idx="1">
                  <c:v>B</c:v>
                </c:pt>
                <c:pt idx="2">
                  <c:v>C</c:v>
                </c:pt>
                <c:pt idx="3">
                  <c:v>D</c:v>
                </c:pt>
                <c:pt idx="4">
                  <c:v>E</c:v>
                </c:pt>
                <c:pt idx="5">
                  <c:v>F</c:v>
                </c:pt>
                <c:pt idx="6">
                  <c:v>G</c:v>
                </c:pt>
                <c:pt idx="7">
                  <c:v>H</c:v>
                </c:pt>
                <c:pt idx="8">
                  <c:v>I</c:v>
                </c:pt>
                <c:pt idx="9">
                  <c:v>J</c:v>
                </c:pt>
                <c:pt idx="10">
                  <c:v>K</c:v>
                </c:pt>
                <c:pt idx="11">
                  <c:v>L</c:v>
                </c:pt>
                <c:pt idx="12">
                  <c:v>M</c:v>
                </c:pt>
                <c:pt idx="13">
                  <c:v>N</c:v>
                </c:pt>
                <c:pt idx="14">
                  <c:v>O</c:v>
                </c:pt>
                <c:pt idx="15">
                  <c:v>P</c:v>
                </c:pt>
                <c:pt idx="16">
                  <c:v>Q</c:v>
                </c:pt>
              </c:strCache>
            </c:strRef>
          </c:cat>
          <c:val>
            <c:numRef>
              <c:f>'Market Cap Analysis'!$C$25:$C$41</c:f>
              <c:numCache>
                <c:formatCode>0%</c:formatCode>
                <c:ptCount val="17"/>
                <c:pt idx="0">
                  <c:v>5.9855285157274149E-4</c:v>
                </c:pt>
                <c:pt idx="1">
                  <c:v>0</c:v>
                </c:pt>
                <c:pt idx="2">
                  <c:v>0</c:v>
                </c:pt>
                <c:pt idx="3">
                  <c:v>0</c:v>
                </c:pt>
                <c:pt idx="4">
                  <c:v>0</c:v>
                </c:pt>
                <c:pt idx="5">
                  <c:v>0</c:v>
                </c:pt>
                <c:pt idx="6">
                  <c:v>3.5409935195794057E-4</c:v>
                </c:pt>
                <c:pt idx="7">
                  <c:v>8.2256764688303484E-4</c:v>
                </c:pt>
                <c:pt idx="8">
                  <c:v>0</c:v>
                </c:pt>
                <c:pt idx="9">
                  <c:v>4.2802964257143975E-5</c:v>
                </c:pt>
                <c:pt idx="10">
                  <c:v>5.6445220103564561E-4</c:v>
                </c:pt>
                <c:pt idx="11">
                  <c:v>4.2341477346830086E-3</c:v>
                </c:pt>
                <c:pt idx="12">
                  <c:v>1.2508549943293071E-2</c:v>
                </c:pt>
                <c:pt idx="13">
                  <c:v>4.5190372925935501E-2</c:v>
                </c:pt>
                <c:pt idx="14">
                  <c:v>0.31391514317041841</c:v>
                </c:pt>
                <c:pt idx="15">
                  <c:v>5.4887589672273966E-2</c:v>
                </c:pt>
                <c:pt idx="16">
                  <c:v>5.6445220103564561E-4</c:v>
                </c:pt>
              </c:numCache>
            </c:numRef>
          </c:val>
          <c:extLst>
            <c:ext xmlns:c16="http://schemas.microsoft.com/office/drawing/2014/chart" uri="{C3380CC4-5D6E-409C-BE32-E72D297353CC}">
              <c16:uniqueId val="{00000000-978F-414C-93FB-177086F81EFA}"/>
            </c:ext>
          </c:extLst>
        </c:ser>
        <c:ser>
          <c:idx val="1"/>
          <c:order val="1"/>
          <c:tx>
            <c:strRef>
              <c:f>'Market Cap Analysis'!$D$24</c:f>
              <c:strCache>
                <c:ptCount val="1"/>
                <c:pt idx="0">
                  <c:v>Mid Cap</c:v>
                </c:pt>
              </c:strCache>
            </c:strRef>
          </c:tx>
          <c:spPr>
            <a:solidFill>
              <a:schemeClr val="accent2"/>
            </a:solidFill>
            <a:ln>
              <a:noFill/>
            </a:ln>
            <a:effectLst/>
          </c:spPr>
          <c:invertIfNegative val="0"/>
          <c:cat>
            <c:strRef>
              <c:f>'Market Cap Analysis'!$B$25:$B$41</c:f>
              <c:strCache>
                <c:ptCount val="17"/>
                <c:pt idx="0">
                  <c:v>A</c:v>
                </c:pt>
                <c:pt idx="1">
                  <c:v>B</c:v>
                </c:pt>
                <c:pt idx="2">
                  <c:v>C</c:v>
                </c:pt>
                <c:pt idx="3">
                  <c:v>D</c:v>
                </c:pt>
                <c:pt idx="4">
                  <c:v>E</c:v>
                </c:pt>
                <c:pt idx="5">
                  <c:v>F</c:v>
                </c:pt>
                <c:pt idx="6">
                  <c:v>G</c:v>
                </c:pt>
                <c:pt idx="7">
                  <c:v>H</c:v>
                </c:pt>
                <c:pt idx="8">
                  <c:v>I</c:v>
                </c:pt>
                <c:pt idx="9">
                  <c:v>J</c:v>
                </c:pt>
                <c:pt idx="10">
                  <c:v>K</c:v>
                </c:pt>
                <c:pt idx="11">
                  <c:v>L</c:v>
                </c:pt>
                <c:pt idx="12">
                  <c:v>M</c:v>
                </c:pt>
                <c:pt idx="13">
                  <c:v>N</c:v>
                </c:pt>
                <c:pt idx="14">
                  <c:v>O</c:v>
                </c:pt>
                <c:pt idx="15">
                  <c:v>P</c:v>
                </c:pt>
                <c:pt idx="16">
                  <c:v>Q</c:v>
                </c:pt>
              </c:strCache>
            </c:strRef>
          </c:cat>
          <c:val>
            <c:numRef>
              <c:f>'Market Cap Analysis'!$D$25:$D$41</c:f>
              <c:numCache>
                <c:formatCode>0%</c:formatCode>
                <c:ptCount val="17"/>
                <c:pt idx="0">
                  <c:v>7.0088661536141822E-2</c:v>
                </c:pt>
                <c:pt idx="1">
                  <c:v>5.6603828473950459E-3</c:v>
                </c:pt>
                <c:pt idx="2">
                  <c:v>9.4129378523892509E-3</c:v>
                </c:pt>
                <c:pt idx="3">
                  <c:v>1.40228559846956E-2</c:v>
                </c:pt>
                <c:pt idx="4">
                  <c:v>2.9179825669530066E-2</c:v>
                </c:pt>
                <c:pt idx="5">
                  <c:v>2.3111205320071139E-2</c:v>
                </c:pt>
                <c:pt idx="6">
                  <c:v>3.0329910918883322E-2</c:v>
                </c:pt>
                <c:pt idx="7">
                  <c:v>0.13360382125196549</c:v>
                </c:pt>
                <c:pt idx="8">
                  <c:v>0</c:v>
                </c:pt>
                <c:pt idx="9">
                  <c:v>2.3339535147810467E-2</c:v>
                </c:pt>
                <c:pt idx="10">
                  <c:v>3.7393716462384138E-2</c:v>
                </c:pt>
                <c:pt idx="11">
                  <c:v>1.9067822175636857E-2</c:v>
                </c:pt>
                <c:pt idx="12">
                  <c:v>0.27405378430266536</c:v>
                </c:pt>
                <c:pt idx="13">
                  <c:v>0.34818038758082676</c:v>
                </c:pt>
                <c:pt idx="14">
                  <c:v>9.896583767665619E-2</c:v>
                </c:pt>
                <c:pt idx="15">
                  <c:v>0.32039448528643127</c:v>
                </c:pt>
                <c:pt idx="16">
                  <c:v>5.0627918325236401E-2</c:v>
                </c:pt>
              </c:numCache>
            </c:numRef>
          </c:val>
          <c:extLst>
            <c:ext xmlns:c16="http://schemas.microsoft.com/office/drawing/2014/chart" uri="{C3380CC4-5D6E-409C-BE32-E72D297353CC}">
              <c16:uniqueId val="{00000001-978F-414C-93FB-177086F81EFA}"/>
            </c:ext>
          </c:extLst>
        </c:ser>
        <c:ser>
          <c:idx val="2"/>
          <c:order val="2"/>
          <c:tx>
            <c:strRef>
              <c:f>'Market Cap Analysis'!$E$24</c:f>
              <c:strCache>
                <c:ptCount val="1"/>
                <c:pt idx="0">
                  <c:v>Large Cap</c:v>
                </c:pt>
              </c:strCache>
            </c:strRef>
          </c:tx>
          <c:spPr>
            <a:solidFill>
              <a:schemeClr val="accent3"/>
            </a:solidFill>
            <a:ln>
              <a:noFill/>
            </a:ln>
            <a:effectLst/>
          </c:spPr>
          <c:invertIfNegative val="0"/>
          <c:cat>
            <c:strRef>
              <c:f>'Market Cap Analysis'!$B$25:$B$41</c:f>
              <c:strCache>
                <c:ptCount val="17"/>
                <c:pt idx="0">
                  <c:v>A</c:v>
                </c:pt>
                <c:pt idx="1">
                  <c:v>B</c:v>
                </c:pt>
                <c:pt idx="2">
                  <c:v>C</c:v>
                </c:pt>
                <c:pt idx="3">
                  <c:v>D</c:v>
                </c:pt>
                <c:pt idx="4">
                  <c:v>E</c:v>
                </c:pt>
                <c:pt idx="5">
                  <c:v>F</c:v>
                </c:pt>
                <c:pt idx="6">
                  <c:v>G</c:v>
                </c:pt>
                <c:pt idx="7">
                  <c:v>H</c:v>
                </c:pt>
                <c:pt idx="8">
                  <c:v>I</c:v>
                </c:pt>
                <c:pt idx="9">
                  <c:v>J</c:v>
                </c:pt>
                <c:pt idx="10">
                  <c:v>K</c:v>
                </c:pt>
                <c:pt idx="11">
                  <c:v>L</c:v>
                </c:pt>
                <c:pt idx="12">
                  <c:v>M</c:v>
                </c:pt>
                <c:pt idx="13">
                  <c:v>N</c:v>
                </c:pt>
                <c:pt idx="14">
                  <c:v>O</c:v>
                </c:pt>
                <c:pt idx="15">
                  <c:v>P</c:v>
                </c:pt>
                <c:pt idx="16">
                  <c:v>Q</c:v>
                </c:pt>
              </c:strCache>
            </c:strRef>
          </c:cat>
          <c:val>
            <c:numRef>
              <c:f>'Market Cap Analysis'!$E$25:$E$41</c:f>
              <c:numCache>
                <c:formatCode>0%</c:formatCode>
                <c:ptCount val="17"/>
                <c:pt idx="0">
                  <c:v>0.92931278561228547</c:v>
                </c:pt>
                <c:pt idx="1">
                  <c:v>0.99433961715260499</c:v>
                </c:pt>
                <c:pt idx="2">
                  <c:v>0.99058706214761072</c:v>
                </c:pt>
                <c:pt idx="3">
                  <c:v>0.98597714401530445</c:v>
                </c:pt>
                <c:pt idx="4">
                  <c:v>0.97082017433046996</c:v>
                </c:pt>
                <c:pt idx="5">
                  <c:v>0.97688879467992884</c:v>
                </c:pt>
                <c:pt idx="6">
                  <c:v>0.96931598972915867</c:v>
                </c:pt>
                <c:pt idx="7">
                  <c:v>0.8655736111011515</c:v>
                </c:pt>
                <c:pt idx="8">
                  <c:v>0</c:v>
                </c:pt>
                <c:pt idx="9">
                  <c:v>0.97661766188793231</c:v>
                </c:pt>
                <c:pt idx="10">
                  <c:v>0.96204183133658028</c:v>
                </c:pt>
                <c:pt idx="11">
                  <c:v>0.97669803008968015</c:v>
                </c:pt>
                <c:pt idx="12">
                  <c:v>0.71343766575404155</c:v>
                </c:pt>
                <c:pt idx="13">
                  <c:v>0.60662923949323777</c:v>
                </c:pt>
                <c:pt idx="14">
                  <c:v>0.58711901915292541</c:v>
                </c:pt>
                <c:pt idx="15">
                  <c:v>0.62471792504129486</c:v>
                </c:pt>
                <c:pt idx="16">
                  <c:v>0.93000102141893182</c:v>
                </c:pt>
              </c:numCache>
            </c:numRef>
          </c:val>
          <c:extLst>
            <c:ext xmlns:c16="http://schemas.microsoft.com/office/drawing/2014/chart" uri="{C3380CC4-5D6E-409C-BE32-E72D297353CC}">
              <c16:uniqueId val="{00000002-978F-414C-93FB-177086F81EFA}"/>
            </c:ext>
          </c:extLst>
        </c:ser>
        <c:dLbls>
          <c:showLegendKey val="0"/>
          <c:showVal val="0"/>
          <c:showCatName val="0"/>
          <c:showSerName val="0"/>
          <c:showPercent val="0"/>
          <c:showBubbleSize val="0"/>
        </c:dLbls>
        <c:gapWidth val="150"/>
        <c:overlap val="100"/>
        <c:axId val="1407053104"/>
        <c:axId val="1781976800"/>
      </c:barChart>
      <c:catAx>
        <c:axId val="1407053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81976800"/>
        <c:crosses val="autoZero"/>
        <c:auto val="1"/>
        <c:lblAlgn val="ctr"/>
        <c:lblOffset val="100"/>
        <c:noMultiLvlLbl val="0"/>
      </c:catAx>
      <c:valAx>
        <c:axId val="1781976800"/>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07053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142875</xdr:rowOff>
    </xdr:from>
    <xdr:to>
      <xdr:col>7</xdr:col>
      <xdr:colOff>276225</xdr:colOff>
      <xdr:row>20</xdr:row>
      <xdr:rowOff>80962</xdr:rowOff>
    </xdr:to>
    <xdr:graphicFrame macro="">
      <xdr:nvGraphicFramePr>
        <xdr:cNvPr id="2" name="Chart 1">
          <a:extLst>
            <a:ext uri="{FF2B5EF4-FFF2-40B4-BE49-F238E27FC236}">
              <a16:creationId xmlns:a16="http://schemas.microsoft.com/office/drawing/2014/main" id="{B4E760C4-C22E-4763-8F0A-95D285F62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419101</xdr:colOff>
      <xdr:row>1</xdr:row>
      <xdr:rowOff>152400</xdr:rowOff>
    </xdr:from>
    <xdr:to>
      <xdr:col>16</xdr:col>
      <xdr:colOff>609600</xdr:colOff>
      <xdr:row>20</xdr:row>
      <xdr:rowOff>66675</xdr:rowOff>
    </xdr:to>
    <xdr:pic>
      <xdr:nvPicPr>
        <xdr:cNvPr id="3" name="Picture 2">
          <a:extLst>
            <a:ext uri="{FF2B5EF4-FFF2-40B4-BE49-F238E27FC236}">
              <a16:creationId xmlns:a16="http://schemas.microsoft.com/office/drawing/2014/main" id="{3294A97D-E7A2-43DA-B69E-FD619B2635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96026" y="590550"/>
          <a:ext cx="5343524" cy="3352800"/>
        </a:xfrm>
        <a:prstGeom prst="rect">
          <a:avLst/>
        </a:prstGeom>
        <a:ln>
          <a:solidFill>
            <a:schemeClr val="tx1"/>
          </a:solidFill>
        </a:ln>
      </xdr:spPr>
    </xdr:pic>
    <xdr:clientData/>
  </xdr:twoCellAnchor>
  <xdr:twoCellAnchor>
    <xdr:from>
      <xdr:col>1</xdr:col>
      <xdr:colOff>1333500</xdr:colOff>
      <xdr:row>41</xdr:row>
      <xdr:rowOff>147636</xdr:rowOff>
    </xdr:from>
    <xdr:to>
      <xdr:col>14</xdr:col>
      <xdr:colOff>609599</xdr:colOff>
      <xdr:row>62</xdr:row>
      <xdr:rowOff>57150</xdr:rowOff>
    </xdr:to>
    <xdr:graphicFrame macro="">
      <xdr:nvGraphicFramePr>
        <xdr:cNvPr id="9" name="Chart 8">
          <a:extLst>
            <a:ext uri="{FF2B5EF4-FFF2-40B4-BE49-F238E27FC236}">
              <a16:creationId xmlns:a16="http://schemas.microsoft.com/office/drawing/2014/main" id="{BAB4E40C-76DB-4FA7-BEFF-D2E0A3128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1485900</xdr:colOff>
      <xdr:row>45</xdr:row>
      <xdr:rowOff>9525</xdr:rowOff>
    </xdr:from>
    <xdr:to>
      <xdr:col>3</xdr:col>
      <xdr:colOff>314325</xdr:colOff>
      <xdr:row>59</xdr:row>
      <xdr:rowOff>57150</xdr:rowOff>
    </xdr:to>
    <mc:AlternateContent xmlns:mc="http://schemas.openxmlformats.org/markup-compatibility/2006" xmlns:sle15="http://schemas.microsoft.com/office/drawing/2012/slicer">
      <mc:Choice Requires="sle15">
        <xdr:graphicFrame macro="">
          <xdr:nvGraphicFramePr>
            <xdr:cNvPr id="10" name="Small Cap">
              <a:extLst>
                <a:ext uri="{FF2B5EF4-FFF2-40B4-BE49-F238E27FC236}">
                  <a16:creationId xmlns:a16="http://schemas.microsoft.com/office/drawing/2014/main" id="{0B06CE95-AA6A-4514-BD7C-731CD1215684}"/>
                </a:ext>
              </a:extLst>
            </xdr:cNvPr>
            <xdr:cNvGraphicFramePr/>
          </xdr:nvGraphicFramePr>
          <xdr:xfrm>
            <a:off x="0" y="0"/>
            <a:ext cx="0" cy="0"/>
          </xdr:xfrm>
          <a:graphic>
            <a:graphicData uri="http://schemas.microsoft.com/office/drawing/2010/slicer">
              <sle:slicer xmlns:sle="http://schemas.microsoft.com/office/drawing/2010/slicer" name="Small Cap"/>
            </a:graphicData>
          </a:graphic>
        </xdr:graphicFrame>
      </mc:Choice>
      <mc:Fallback xmlns="">
        <xdr:sp macro="" textlink="">
          <xdr:nvSpPr>
            <xdr:cNvPr id="0" name=""/>
            <xdr:cNvSpPr>
              <a:spLocks noTextEdit="1"/>
            </xdr:cNvSpPr>
          </xdr:nvSpPr>
          <xdr:spPr>
            <a:xfrm>
              <a:off x="2095500" y="8315325"/>
              <a:ext cx="1514475"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intern9/Desktop/Quantitative%20Analysis/4.%20Trailing%20Year%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 TrailingYearAnalysis"/>
      <sheetName val="1 Yr"/>
      <sheetName val="3 Yr"/>
      <sheetName val="5 Yr"/>
      <sheetName val="7 Yr"/>
      <sheetName val="10 Yr"/>
      <sheetName val="SI"/>
      <sheetName val="MonthlyReturn(Newest)"/>
      <sheetName val="BenchmarkReturn(Newest)"/>
      <sheetName val="GeometricReturn(Newest)"/>
      <sheetName val="ExcessReturn(Newest)"/>
      <sheetName val="Drawdown"/>
    </sheetNames>
    <sheetDataSet>
      <sheetData sheetId="0"/>
      <sheetData sheetId="1">
        <row r="2">
          <cell r="BY2" t="str">
            <v>Aberdeen</v>
          </cell>
          <cell r="BZ2" t="str">
            <v>Acadian</v>
          </cell>
          <cell r="CA2" t="str">
            <v>Amundi</v>
          </cell>
          <cell r="CB2" t="str">
            <v>Amundi-CPR</v>
          </cell>
          <cell r="CC2" t="str">
            <v>Amundi - KBIGI Water</v>
          </cell>
          <cell r="CD2" t="str">
            <v>Amundi - KBIGI Developed Equity</v>
          </cell>
          <cell r="CE2" t="str">
            <v>AQR (Equity)</v>
          </cell>
          <cell r="CF2" t="str">
            <v>AQR (Enhanced)</v>
          </cell>
          <cell r="CG2" t="str">
            <v>Arabesque (Systematic)</v>
          </cell>
          <cell r="CH2" t="str">
            <v>Arabesque (Sustainable Global Equity)</v>
          </cell>
          <cell r="CI2" t="str">
            <v>BlackRock (Alpha Tilts)</v>
          </cell>
          <cell r="CJ2" t="str">
            <v>BlackRock (BSF)</v>
          </cell>
          <cell r="CK2" t="str">
            <v>Calvert</v>
          </cell>
          <cell r="CL2" t="str">
            <v>Columbia (Equity)</v>
          </cell>
          <cell r="CM2" t="str">
            <v>Columbia (Sustainable)</v>
          </cell>
          <cell r="CN2" t="str">
            <v>GSAM (EME)</v>
          </cell>
          <cell r="CO2" t="str">
            <v>GSAM (GEP)</v>
          </cell>
          <cell r="CP2" t="str">
            <v>Jupiter</v>
          </cell>
          <cell r="CQ2" t="str">
            <v>Neuberger</v>
          </cell>
          <cell r="CR2" t="str">
            <v>Ownership</v>
          </cell>
          <cell r="CS2" t="str">
            <v>PanAgora</v>
          </cell>
          <cell r="CT2" t="str">
            <v>Robeco</v>
          </cell>
        </row>
        <row r="4">
          <cell r="BY4">
            <v>12</v>
          </cell>
          <cell r="BZ4">
            <v>12</v>
          </cell>
          <cell r="CA4">
            <v>12</v>
          </cell>
          <cell r="CB4">
            <v>6</v>
          </cell>
          <cell r="CC4">
            <v>12</v>
          </cell>
          <cell r="CD4">
            <v>12</v>
          </cell>
          <cell r="CE4">
            <v>12</v>
          </cell>
          <cell r="CF4">
            <v>12</v>
          </cell>
          <cell r="CG4">
            <v>12</v>
          </cell>
          <cell r="CH4">
            <v>12</v>
          </cell>
          <cell r="CI4">
            <v>12</v>
          </cell>
          <cell r="CJ4">
            <v>12</v>
          </cell>
          <cell r="CK4">
            <v>6</v>
          </cell>
          <cell r="CL4">
            <v>12</v>
          </cell>
          <cell r="CM4">
            <v>6</v>
          </cell>
          <cell r="CN4">
            <v>12</v>
          </cell>
          <cell r="CO4">
            <v>12</v>
          </cell>
          <cell r="CP4">
            <v>12</v>
          </cell>
          <cell r="CQ4">
            <v>12</v>
          </cell>
          <cell r="CR4">
            <v>12</v>
          </cell>
          <cell r="CS4">
            <v>12</v>
          </cell>
          <cell r="CT4">
            <v>12</v>
          </cell>
        </row>
        <row r="5">
          <cell r="BY5">
            <v>4.0583333333333322E-3</v>
          </cell>
          <cell r="BZ5">
            <v>3.0805029001860131E-3</v>
          </cell>
          <cell r="CA5">
            <v>6.7209230809260057E-3</v>
          </cell>
          <cell r="CB5">
            <v>2.5950000000000001E-2</v>
          </cell>
          <cell r="CC5">
            <v>3.8166666666666661E-3</v>
          </cell>
          <cell r="CD5">
            <v>2.0166666666666666E-3</v>
          </cell>
          <cell r="CE5">
            <v>6.5554288660622188E-4</v>
          </cell>
          <cell r="CF5">
            <v>1.0944300252743538E-3</v>
          </cell>
          <cell r="CG5">
            <v>6.8129329006798615E-4</v>
          </cell>
          <cell r="CH5">
            <v>3.5440174024095701E-3</v>
          </cell>
          <cell r="CI5">
            <v>6.6768333333333315E-3</v>
          </cell>
          <cell r="CJ5">
            <v>5.8928416666666639E-3</v>
          </cell>
          <cell r="CK5">
            <v>2.7949999999999999E-2</v>
          </cell>
          <cell r="CL5">
            <v>9.5853630677192343E-3</v>
          </cell>
          <cell r="CM5">
            <v>3.4916666666666665E-2</v>
          </cell>
          <cell r="CN5">
            <v>3.7233333333333308E-4</v>
          </cell>
          <cell r="CO5">
            <v>4.2040833333333331E-3</v>
          </cell>
          <cell r="CP5">
            <v>3.8280126606322013E-3</v>
          </cell>
          <cell r="CQ5">
            <v>5.4615474756666673E-3</v>
          </cell>
          <cell r="CR5">
            <v>1.5032355692208788E-2</v>
          </cell>
          <cell r="CS5">
            <v>5.7852500000000005E-3</v>
          </cell>
          <cell r="CT5">
            <v>-7.1896632046749187E-4</v>
          </cell>
        </row>
        <row r="6">
          <cell r="BY6">
            <v>4.4101236912610764</v>
          </cell>
          <cell r="BZ6">
            <v>4.9438935258165966</v>
          </cell>
          <cell r="CA6">
            <v>3.9578377995728293</v>
          </cell>
          <cell r="CB6">
            <v>4.7149575819937137</v>
          </cell>
          <cell r="CC6">
            <v>5.4591755075489399</v>
          </cell>
          <cell r="CD6">
            <v>4.9381690826549161</v>
          </cell>
          <cell r="CE6">
            <v>5.158374466097885</v>
          </cell>
          <cell r="CF6">
            <v>4.9943059971682571</v>
          </cell>
          <cell r="CG6">
            <v>4.1850605115179462</v>
          </cell>
          <cell r="CH6">
            <v>4.5313074011762753</v>
          </cell>
          <cell r="CI6">
            <v>4.8454800260712618</v>
          </cell>
          <cell r="CJ6">
            <v>4.7921470078634174</v>
          </cell>
          <cell r="CK6">
            <v>4.5392941815514307</v>
          </cell>
          <cell r="CL6">
            <v>5.574674878482301</v>
          </cell>
          <cell r="CM6">
            <v>3.2548805234942528</v>
          </cell>
          <cell r="CN6">
            <v>3.7248689686872063</v>
          </cell>
          <cell r="CO6">
            <v>4.3199652588221769</v>
          </cell>
          <cell r="CP6">
            <v>6.1197394707179047</v>
          </cell>
          <cell r="CQ6">
            <v>4.4706094488945309</v>
          </cell>
          <cell r="CR6">
            <v>5.2436171833925282</v>
          </cell>
          <cell r="CS6">
            <v>4.9422996778026658</v>
          </cell>
          <cell r="CT6">
            <v>4.7577766834229172</v>
          </cell>
        </row>
        <row r="7">
          <cell r="BY7">
            <v>15.27711660185477</v>
          </cell>
          <cell r="BZ7">
            <v>17.12614954785036</v>
          </cell>
          <cell r="CA7">
            <v>13.710352313953495</v>
          </cell>
          <cell r="CB7">
            <v>16.333092175090425</v>
          </cell>
          <cell r="CC7">
            <v>18.911138693020753</v>
          </cell>
          <cell r="CD7">
            <v>17.106319495048218</v>
          </cell>
          <cell r="CE7">
            <v>17.869133319495035</v>
          </cell>
          <cell r="CF7">
            <v>17.300783471282731</v>
          </cell>
          <cell r="CG7">
            <v>14.497474877398554</v>
          </cell>
          <cell r="CH7">
            <v>15.696909287100395</v>
          </cell>
          <cell r="CI7">
            <v>16.785235184431187</v>
          </cell>
          <cell r="CJ7">
            <v>16.600484189917221</v>
          </cell>
          <cell r="CK7">
            <v>15.724576305897722</v>
          </cell>
          <cell r="CL7">
            <v>19.311240250418404</v>
          </cell>
          <cell r="CM7">
            <v>11.275236878516861</v>
          </cell>
          <cell r="CN7">
            <v>12.903324610605853</v>
          </cell>
          <cell r="CO7">
            <v>14.964798630424889</v>
          </cell>
          <cell r="CP7">
            <v>21.199399384736161</v>
          </cell>
          <cell r="CQ7">
            <v>15.48664541256565</v>
          </cell>
          <cell r="CR7">
            <v>18.164422754154138</v>
          </cell>
          <cell r="CS7">
            <v>17.120628296371017</v>
          </cell>
          <cell r="CT7">
            <v>16.481421893510074</v>
          </cell>
        </row>
        <row r="8">
          <cell r="BY8">
            <v>0.33355650769472001</v>
          </cell>
          <cell r="BZ8">
            <v>-8.6445850650932327E-3</v>
          </cell>
          <cell r="CA8">
            <v>1.2808964229977871</v>
          </cell>
          <cell r="CB8">
            <v>6.7766956219297816</v>
          </cell>
          <cell r="CC8">
            <v>9.6321227108303001E-2</v>
          </cell>
          <cell r="CD8">
            <v>-0.27228896918778589</v>
          </cell>
          <cell r="CE8">
            <v>-0.60191682932501545</v>
          </cell>
          <cell r="CF8">
            <v>-0.49667558956586572</v>
          </cell>
          <cell r="CG8">
            <v>-0.61139899520851571</v>
          </cell>
          <cell r="CH8">
            <v>0.16489032902375628</v>
          </cell>
          <cell r="CI8">
            <v>0.93195477031533103</v>
          </cell>
          <cell r="CJ8">
            <v>0.74115464293311151</v>
          </cell>
          <cell r="CK8">
            <v>7.7682743271025938</v>
          </cell>
          <cell r="CL8">
            <v>1.3941075707518342</v>
          </cell>
          <cell r="CM8">
            <v>14.677196339002702</v>
          </cell>
          <cell r="CN8">
            <v>-0.71847701401369046</v>
          </cell>
          <cell r="CO8">
            <v>0.3934443020233237</v>
          </cell>
          <cell r="CP8">
            <v>1.0424031210596299E-2</v>
          </cell>
          <cell r="CQ8">
            <v>0.71519194894701787</v>
          </cell>
          <cell r="CR8">
            <v>2.932072229711804</v>
          </cell>
          <cell r="CS8">
            <v>0.67039342510556255</v>
          </cell>
          <cell r="CT8">
            <v>-0.94626316732081894</v>
          </cell>
        </row>
        <row r="9">
          <cell r="BY9">
            <v>0.89141739463699576</v>
          </cell>
          <cell r="BZ9">
            <v>1.0068816098093578</v>
          </cell>
          <cell r="CA9">
            <v>0.80303949247999695</v>
          </cell>
          <cell r="CB9">
            <v>0.91244358797370617</v>
          </cell>
          <cell r="CC9">
            <v>1.102148708143019</v>
          </cell>
          <cell r="CD9">
            <v>1.026517992681927</v>
          </cell>
          <cell r="CE9">
            <v>1.0704104293965069</v>
          </cell>
          <cell r="CF9">
            <v>1.0357861669409472</v>
          </cell>
          <cell r="CG9">
            <v>0.74965620797821864</v>
          </cell>
          <cell r="CH9">
            <v>0.88332977113055</v>
          </cell>
          <cell r="CI9">
            <v>1.0119040932761361</v>
          </cell>
          <cell r="CJ9">
            <v>0.99334478195832521</v>
          </cell>
          <cell r="CK9">
            <v>0.8811802664023366</v>
          </cell>
          <cell r="CL9">
            <v>1.156093191644388</v>
          </cell>
          <cell r="CM9">
            <v>0.61932341547195968</v>
          </cell>
          <cell r="CN9">
            <v>0.67279829504700595</v>
          </cell>
          <cell r="CO9">
            <v>-0.3644466897756643</v>
          </cell>
          <cell r="CP9">
            <v>1.2386641663200559</v>
          </cell>
          <cell r="CQ9">
            <v>0.9303778495238596</v>
          </cell>
          <cell r="CR9">
            <v>1.0431953929071338</v>
          </cell>
          <cell r="CS9">
            <v>1.0272433085162025</v>
          </cell>
          <cell r="CT9">
            <v>0.97002219648168753</v>
          </cell>
        </row>
        <row r="10">
          <cell r="BY10">
            <v>-0.22974852094092513</v>
          </cell>
          <cell r="BZ10">
            <v>-0.49947200378250617</v>
          </cell>
          <cell r="CA10">
            <v>0.26948948828274466</v>
          </cell>
          <cell r="CB10">
            <v>3.411910301616035</v>
          </cell>
          <cell r="CC10">
            <v>-0.50390957396466018</v>
          </cell>
          <cell r="CD10">
            <v>-0.6706744455595044</v>
          </cell>
          <cell r="CE10">
            <v>-0.91539040253310544</v>
          </cell>
          <cell r="CF10">
            <v>-0.81405677857548797</v>
          </cell>
          <cell r="CG10">
            <v>-0.60519034397644833</v>
          </cell>
          <cell r="CH10">
            <v>-0.3104423802595957</v>
          </cell>
          <cell r="CI10">
            <v>4.3717765526726571E-2</v>
          </cell>
          <cell r="CJ10">
            <v>-5.7811417231944995E-2</v>
          </cell>
          <cell r="CK10">
            <v>3.8330348255575464</v>
          </cell>
          <cell r="CL10">
            <v>0.32444698384273163</v>
          </cell>
          <cell r="CM10">
            <v>5.5339742172652642</v>
          </cell>
          <cell r="CN10">
            <v>-0.56066485297953328</v>
          </cell>
          <cell r="CO10">
            <v>0.75561548745923823</v>
          </cell>
          <cell r="CP10">
            <v>-0.66348362642799952</v>
          </cell>
          <cell r="CQ10">
            <v>-5.2307919211939696E-2</v>
          </cell>
          <cell r="CR10">
            <v>1.3229174392006164</v>
          </cell>
          <cell r="CS10">
            <v>-0.11228038857096523</v>
          </cell>
          <cell r="CT10">
            <v>-1.0064815028990819</v>
          </cell>
        </row>
        <row r="11">
          <cell r="BY11">
            <v>1.6502095043341904E-2</v>
          </cell>
          <cell r="BZ11">
            <v>-4.2445812616219338E-4</v>
          </cell>
          <cell r="CA11">
            <v>6.3129899933340436E-2</v>
          </cell>
          <cell r="CB11">
            <v>0.35017871597342176</v>
          </cell>
          <cell r="CC11">
            <v>4.7709939684334544E-3</v>
          </cell>
          <cell r="CD11">
            <v>-1.3098737467602643E-2</v>
          </cell>
          <cell r="CE11">
            <v>-2.9006746550996287E-2</v>
          </cell>
          <cell r="CF11">
            <v>-2.3948474644547996E-2</v>
          </cell>
          <cell r="CG11">
            <v>-3.4132203060516154E-2</v>
          </cell>
          <cell r="CH11">
            <v>8.4585484686139009E-3</v>
          </cell>
          <cell r="CI11">
            <v>4.4626444885152473E-2</v>
          </cell>
          <cell r="CJ11">
            <v>3.5755178554358169E-2</v>
          </cell>
          <cell r="CK11">
            <v>0.40017331070838713</v>
          </cell>
          <cell r="CL11">
            <v>6.7223788780539723E-2</v>
          </cell>
          <cell r="CM11">
            <v>0.77136628956480946</v>
          </cell>
          <cell r="CN11">
            <v>-3.9777638467821327E-2</v>
          </cell>
          <cell r="CO11">
            <v>-4.6636881708776938E-2</v>
          </cell>
          <cell r="CP11">
            <v>5.1500928966890245E-4</v>
          </cell>
          <cell r="CQ11">
            <v>3.4366079183550433E-2</v>
          </cell>
          <cell r="CR11">
            <v>0.14738048529738404</v>
          </cell>
          <cell r="CS11">
            <v>3.2254142533049049E-2</v>
          </cell>
          <cell r="CT11">
            <v>-4.6412431078281045E-2</v>
          </cell>
        </row>
        <row r="12">
          <cell r="BY12">
            <v>-2.4812799664810922E-2</v>
          </cell>
          <cell r="BZ12">
            <v>-4.11711067070002E-2</v>
          </cell>
          <cell r="CA12">
            <v>2.0473079123209871E-2</v>
          </cell>
          <cell r="CB12">
            <v>0.28318986361182213</v>
          </cell>
          <cell r="CC12">
            <v>-3.6153405066665666E-2</v>
          </cell>
          <cell r="CD12">
            <v>-5.3774151748866808E-2</v>
          </cell>
          <cell r="CE12">
            <v>-6.9531418045994942E-2</v>
          </cell>
          <cell r="CF12">
            <v>-6.4500550085882458E-2</v>
          </cell>
          <cell r="CG12">
            <v>-6.9984695911639111E-2</v>
          </cell>
          <cell r="CH12">
            <v>-3.2875582621114785E-2</v>
          </cell>
          <cell r="CI12">
            <v>3.7925517515599166E-3</v>
          </cell>
          <cell r="CJ12">
            <v>-5.3283047665631383E-3</v>
          </cell>
          <cell r="CK12">
            <v>0.33059049808933483</v>
          </cell>
          <cell r="CL12">
            <v>2.5884934183705577E-2</v>
          </cell>
          <cell r="CM12">
            <v>0.66085907405945366</v>
          </cell>
          <cell r="CN12">
            <v>-7.510336778658197E-2</v>
          </cell>
          <cell r="CO12">
            <v>-2.1949971496128262E-2</v>
          </cell>
          <cell r="CP12">
            <v>-4.0259565842557792E-2</v>
          </cell>
          <cell r="CQ12">
            <v>-6.5694046018725943E-3</v>
          </cell>
          <cell r="CR12">
            <v>9.9404565311714752E-2</v>
          </cell>
          <cell r="CS12">
            <v>-8.7109173659762548E-3</v>
          </cell>
          <cell r="CT12">
            <v>-8.5992274673774696E-2</v>
          </cell>
        </row>
        <row r="13">
          <cell r="BY13">
            <v>4.9980831621062984E-3</v>
          </cell>
          <cell r="BZ13">
            <v>-1.3945731943076125E-4</v>
          </cell>
          <cell r="CA13">
            <v>2.9617344943371246E-2</v>
          </cell>
          <cell r="CC13">
            <v>1.6265527226087073E-3</v>
          </cell>
          <cell r="CD13">
            <v>-0.13536636773515429</v>
          </cell>
          <cell r="CE13">
            <v>-9.7201768829672207E-3</v>
          </cell>
          <cell r="CF13">
            <v>-7.0720503559432591E-3</v>
          </cell>
          <cell r="CG13">
            <v>-6.3830950197730591E-3</v>
          </cell>
          <cell r="CH13">
            <v>2.087705901937042E-3</v>
          </cell>
          <cell r="CI13">
            <v>4.9567960374736382E-2</v>
          </cell>
          <cell r="CJ13">
            <v>1.1973794085972871E-2</v>
          </cell>
          <cell r="CL13">
            <v>4.2295198773907673E-2</v>
          </cell>
          <cell r="CN13">
            <v>-1.0231062607931808E-2</v>
          </cell>
          <cell r="CO13">
            <v>1.5719629556265203E-2</v>
          </cell>
          <cell r="CP13">
            <v>1.6140870525726387E-4</v>
          </cell>
          <cell r="CQ13">
            <v>2.820799166630103E-2</v>
          </cell>
          <cell r="CR13">
            <v>6.2215545400693621E-2</v>
          </cell>
          <cell r="CS13">
            <v>3.1727631180342622E-2</v>
          </cell>
          <cell r="CT13">
            <v>-1.4382768147691417E-2</v>
          </cell>
        </row>
        <row r="14">
          <cell r="BY14">
            <v>-0.49997381489273152</v>
          </cell>
          <cell r="BZ14">
            <v>-0.3343453697707845</v>
          </cell>
          <cell r="CA14">
            <v>-0.66855927084471789</v>
          </cell>
          <cell r="CB14">
            <v>-0.81425147479496929</v>
          </cell>
          <cell r="CC14">
            <v>-0.36467125888029961</v>
          </cell>
          <cell r="CD14">
            <v>-0.5197499183248725</v>
          </cell>
          <cell r="CE14">
            <v>-0.27055032676760832</v>
          </cell>
          <cell r="CF14">
            <v>-0.30647150206541068</v>
          </cell>
          <cell r="CG14">
            <v>-1.4369883085005668</v>
          </cell>
          <cell r="CH14">
            <v>-0.9591843318941714</v>
          </cell>
          <cell r="CI14">
            <v>-0.36703572329313428</v>
          </cell>
          <cell r="CJ14">
            <v>-0.39045145864890723</v>
          </cell>
          <cell r="CK14">
            <v>-0.86560713799703282</v>
          </cell>
          <cell r="CL14">
            <v>-0.48807163281888494</v>
          </cell>
          <cell r="CM14">
            <v>-0.72287479651364672</v>
          </cell>
          <cell r="CN14">
            <v>-0.47710979409723592</v>
          </cell>
          <cell r="CO14">
            <v>-0.57756607898396684</v>
          </cell>
          <cell r="CP14">
            <v>-0.31498245492951671</v>
          </cell>
          <cell r="CQ14">
            <v>-0.39531441591095956</v>
          </cell>
          <cell r="CR14">
            <v>-0.70207306300627026</v>
          </cell>
          <cell r="CS14">
            <v>-0.55845089699658823</v>
          </cell>
          <cell r="CT14">
            <v>-0.45591262550189332</v>
          </cell>
        </row>
        <row r="15">
          <cell r="BY15">
            <v>-8.2899999999999991</v>
          </cell>
          <cell r="BZ15">
            <v>-8.0919668266055638</v>
          </cell>
          <cell r="CA15">
            <v>-7.0689655172413213</v>
          </cell>
          <cell r="CB15">
            <v>-6.44</v>
          </cell>
          <cell r="CC15">
            <v>-9.27</v>
          </cell>
          <cell r="CD15">
            <v>-7.63</v>
          </cell>
          <cell r="CE15">
            <v>-8.2251155602070209</v>
          </cell>
          <cell r="CF15">
            <v>-8.4694558415012189</v>
          </cell>
          <cell r="CG15">
            <v>-10.908963593492622</v>
          </cell>
          <cell r="CH15">
            <v>-9.7587170281152709</v>
          </cell>
          <cell r="CI15">
            <v>-7.5370999999999997</v>
          </cell>
          <cell r="CJ15">
            <v>-7.5513000000000003</v>
          </cell>
          <cell r="CK15">
            <v>-6.03</v>
          </cell>
          <cell r="CL15">
            <v>-9.2544656556370199</v>
          </cell>
          <cell r="CM15">
            <v>-2.5099999999999998</v>
          </cell>
          <cell r="CN15">
            <v>-7.4290000000000003</v>
          </cell>
          <cell r="CO15">
            <v>-7.2614000000000001</v>
          </cell>
          <cell r="CP15">
            <v>-10.053433872427901</v>
          </cell>
          <cell r="CQ15">
            <v>-7.4592784097999996</v>
          </cell>
          <cell r="CR15">
            <v>-9.0808815155145002</v>
          </cell>
          <cell r="CS15">
            <v>-8.5129999999999999</v>
          </cell>
          <cell r="CT15">
            <v>-8.4558606147766113</v>
          </cell>
        </row>
        <row r="16">
          <cell r="BY16">
            <v>7.13</v>
          </cell>
          <cell r="BZ16">
            <v>8.7966741107309208</v>
          </cell>
          <cell r="CA16">
            <v>6.7896642312539557</v>
          </cell>
          <cell r="CB16">
            <v>7.63</v>
          </cell>
          <cell r="CC16">
            <v>8.85</v>
          </cell>
          <cell r="CD16">
            <v>7.19</v>
          </cell>
          <cell r="CE16">
            <v>8.9443704332136402</v>
          </cell>
          <cell r="CF16">
            <v>8.3803511272591411</v>
          </cell>
          <cell r="CG16">
            <v>4.09145118937289</v>
          </cell>
          <cell r="CH16">
            <v>5.5106289377625739</v>
          </cell>
          <cell r="CI16">
            <v>8.7512000000000008</v>
          </cell>
          <cell r="CJ16">
            <v>8.2220499999999994</v>
          </cell>
          <cell r="CK16">
            <v>7.99</v>
          </cell>
          <cell r="CL16">
            <v>9.90465380220407</v>
          </cell>
          <cell r="CM16">
            <v>7.07</v>
          </cell>
          <cell r="CN16">
            <v>5.5462999999999996</v>
          </cell>
          <cell r="CO16">
            <v>7.2920999999999996</v>
          </cell>
          <cell r="CP16">
            <v>10.2560832321386</v>
          </cell>
          <cell r="CQ16">
            <v>7.8102134350999997</v>
          </cell>
          <cell r="CR16">
            <v>9.2541806896938006</v>
          </cell>
          <cell r="CS16">
            <v>7.2298999999999998</v>
          </cell>
          <cell r="CT16">
            <v>7.9776786267757416</v>
          </cell>
        </row>
        <row r="17">
          <cell r="BY17">
            <v>0.96624508448587543</v>
          </cell>
          <cell r="BZ17">
            <v>0.97356793843907163</v>
          </cell>
          <cell r="CA17">
            <v>0.96991991230816288</v>
          </cell>
          <cell r="CB17">
            <v>0.9964245395300847</v>
          </cell>
          <cell r="CC17">
            <v>0.96509508248340214</v>
          </cell>
          <cell r="CD17">
            <v>0.99370522517162208</v>
          </cell>
          <cell r="CE17">
            <v>0.99196061548129455</v>
          </cell>
          <cell r="CF17">
            <v>0.99140686637129305</v>
          </cell>
          <cell r="CG17">
            <v>0.85628308186440216</v>
          </cell>
          <cell r="CH17">
            <v>0.93187209274638638</v>
          </cell>
          <cell r="CI17">
            <v>0.99829640811340825</v>
          </cell>
          <cell r="CJ17">
            <v>0.99089319505795515</v>
          </cell>
          <cell r="CK17">
            <v>0.99952259111576336</v>
          </cell>
          <cell r="CL17">
            <v>0.99135742386416104</v>
          </cell>
          <cell r="CM17">
            <v>0.97971245576995036</v>
          </cell>
          <cell r="CN17">
            <v>0.86343737902408357</v>
          </cell>
          <cell r="CO17">
            <v>-0.40328374665947936</v>
          </cell>
          <cell r="CP17">
            <v>0.96755932678676149</v>
          </cell>
          <cell r="CQ17">
            <v>0.99483165070080859</v>
          </cell>
          <cell r="CR17">
            <v>0.95102437010608332</v>
          </cell>
          <cell r="CS17">
            <v>0.99357626653214426</v>
          </cell>
          <cell r="CT17">
            <v>0.9746183455316485</v>
          </cell>
        </row>
        <row r="19">
          <cell r="BY19">
            <v>4.3270417041168736</v>
          </cell>
          <cell r="BZ19">
            <v>3.9132312563316467</v>
          </cell>
          <cell r="CA19">
            <v>4.6665077141490032</v>
          </cell>
          <cell r="CB19">
            <v>1.6478453659248498</v>
          </cell>
          <cell r="CC19">
            <v>5.2337114373231026</v>
          </cell>
          <cell r="CD19">
            <v>1.9660283337649709</v>
          </cell>
          <cell r="CE19">
            <v>2.5441850314574808</v>
          </cell>
          <cell r="CF19">
            <v>2.3394910223362513</v>
          </cell>
          <cell r="CG19">
            <v>8.5590054053956024</v>
          </cell>
          <cell r="CH19">
            <v>6.0134428797696318</v>
          </cell>
          <cell r="CI19">
            <v>0.99899698156033834</v>
          </cell>
          <cell r="CJ19">
            <v>2.2379736713580134</v>
          </cell>
          <cell r="CK19">
            <v>0.5947220779490201</v>
          </cell>
          <cell r="CL19">
            <v>3.6193266692897765</v>
          </cell>
          <cell r="CM19">
            <v>4.8819898624092479</v>
          </cell>
          <cell r="CN19">
            <v>8.4691883772393837</v>
          </cell>
          <cell r="CO19">
            <v>26.420409247902775</v>
          </cell>
          <cell r="CP19">
            <v>6.6562186479194443</v>
          </cell>
          <cell r="CQ19">
            <v>1.9498479452368984</v>
          </cell>
          <cell r="CR19">
            <v>5.6602901530567413</v>
          </cell>
          <cell r="CS19">
            <v>1.9892776100886473</v>
          </cell>
          <cell r="CT19">
            <v>3.7229881528582363</v>
          </cell>
        </row>
        <row r="21">
          <cell r="BY21">
            <v>3.7516004569587924E-2</v>
          </cell>
          <cell r="BZ21">
            <v>2.237837091863315E-2</v>
          </cell>
          <cell r="CA21">
            <v>7.3501552802782699E-2</v>
          </cell>
          <cell r="CB21">
            <v>0.34232407403481435</v>
          </cell>
          <cell r="CC21">
            <v>2.8064094838867071E-2</v>
          </cell>
          <cell r="CD21">
            <v>9.3596603080889906E-3</v>
          </cell>
          <cell r="CE21">
            <v>-8.2433740310475789E-3</v>
          </cell>
          <cell r="CF21">
            <v>-1.9997487561588256E-3</v>
          </cell>
          <cell r="CG21">
            <v>-2.7816679162890878E-3</v>
          </cell>
          <cell r="CH21">
            <v>3.0277437682877384E-2</v>
          </cell>
          <cell r="CI21">
            <v>6.796343224764767E-2</v>
          </cell>
          <cell r="CJ21">
            <v>5.8322970044959899E-2</v>
          </cell>
          <cell r="CK21">
            <v>0.37543057453712159</v>
          </cell>
          <cell r="CL21">
            <v>0.10052271452572237</v>
          </cell>
          <cell r="CM21">
            <v>0.50053095503321043</v>
          </cell>
          <cell r="CN21">
            <v>-3.9565773421463835E-3</v>
          </cell>
          <cell r="CO21">
            <v>3.9802407160222986E-2</v>
          </cell>
          <cell r="CP21">
            <v>2.3443673552434818E-2</v>
          </cell>
          <cell r="CQ21">
            <v>5.4779188847358329E-2</v>
          </cell>
          <cell r="CR21">
            <v>0.17655239326664862</v>
          </cell>
          <cell r="CS21">
            <v>5.5938602089002476E-2</v>
          </cell>
          <cell r="CT21">
            <v>-2.2215338338609114E-2</v>
          </cell>
        </row>
        <row r="22">
          <cell r="BY22">
            <v>-2.6047613314570839E-2</v>
          </cell>
          <cell r="BZ22">
            <v>-4.1185246965525613E-2</v>
          </cell>
          <cell r="CA22">
            <v>9.9379349186239363E-3</v>
          </cell>
          <cell r="CB22">
            <v>0.27876045615065559</v>
          </cell>
          <cell r="CC22">
            <v>-3.5499523045291692E-2</v>
          </cell>
          <cell r="CD22">
            <v>-5.4203957576069772E-2</v>
          </cell>
          <cell r="CE22">
            <v>-7.1806991915206342E-2</v>
          </cell>
          <cell r="CF22">
            <v>-6.5563366640317589E-2</v>
          </cell>
          <cell r="CG22">
            <v>-6.6345285800447851E-2</v>
          </cell>
          <cell r="CH22">
            <v>-3.3286180201281379E-2</v>
          </cell>
          <cell r="CI22">
            <v>4.3998143634889075E-3</v>
          </cell>
          <cell r="CJ22">
            <v>-5.2406478391988642E-3</v>
          </cell>
          <cell r="CK22">
            <v>0.31186695665296282</v>
          </cell>
          <cell r="CL22">
            <v>3.6959096641563605E-2</v>
          </cell>
          <cell r="CM22">
            <v>0.43696733714905167</v>
          </cell>
          <cell r="CN22">
            <v>-6.7520195226305146E-2</v>
          </cell>
          <cell r="CO22">
            <v>-2.3761210723935777E-2</v>
          </cell>
          <cell r="CP22">
            <v>-4.0119944331723945E-2</v>
          </cell>
          <cell r="CQ22">
            <v>-8.7844290368004341E-3</v>
          </cell>
          <cell r="CR22">
            <v>0.11298877538248986</v>
          </cell>
          <cell r="CS22">
            <v>-7.6250157951562869E-3</v>
          </cell>
          <cell r="CT22">
            <v>-8.5778956222767877E-2</v>
          </cell>
        </row>
        <row r="23">
          <cell r="BY23">
            <v>1.4710254569587921E-2</v>
          </cell>
          <cell r="BZ23">
            <v>-4.2737908136685279E-4</v>
          </cell>
          <cell r="CA23">
            <v>5.06958028027827E-2</v>
          </cell>
          <cell r="CB23">
            <v>0.31951832403481434</v>
          </cell>
          <cell r="CC23">
            <v>5.2583448388670677E-3</v>
          </cell>
          <cell r="CD23">
            <v>-1.3446089691911012E-2</v>
          </cell>
          <cell r="CE23">
            <v>-3.1049124031047582E-2</v>
          </cell>
          <cell r="CF23">
            <v>-2.4805498756158829E-2</v>
          </cell>
          <cell r="CG23">
            <v>-2.5587417916289091E-2</v>
          </cell>
          <cell r="CH23">
            <v>7.4716876828773808E-3</v>
          </cell>
          <cell r="CI23">
            <v>4.5157682247647671E-2</v>
          </cell>
          <cell r="CJ23">
            <v>3.5517220044959899E-2</v>
          </cell>
          <cell r="CK23">
            <v>0.35262482453712157</v>
          </cell>
          <cell r="CL23">
            <v>7.7716964525722368E-2</v>
          </cell>
          <cell r="CM23">
            <v>0.47772520503321042</v>
          </cell>
          <cell r="CN23">
            <v>-2.6762327342146387E-2</v>
          </cell>
          <cell r="CO23">
            <v>1.6996657160222983E-2</v>
          </cell>
          <cell r="CP23">
            <v>6.3792355243481522E-4</v>
          </cell>
          <cell r="CQ23">
            <v>3.1973438847358329E-2</v>
          </cell>
          <cell r="CR23">
            <v>0.15374664326664861</v>
          </cell>
          <cell r="CS23">
            <v>3.3132852089002476E-2</v>
          </cell>
          <cell r="CT23">
            <v>-4.5021088338609114E-2</v>
          </cell>
        </row>
        <row r="24">
          <cell r="BY24">
            <v>-0.6019727817688556</v>
          </cell>
          <cell r="BZ24">
            <v>-1.0524613616659499</v>
          </cell>
          <cell r="CA24">
            <v>0.21296300204308663</v>
          </cell>
          <cell r="CB24">
            <v>16.9166635362173</v>
          </cell>
          <cell r="CC24">
            <v>-0.67828582967212092</v>
          </cell>
          <cell r="CD24">
            <v>-2.7570283014318751</v>
          </cell>
          <cell r="CE24">
            <v>-2.8223966035233867</v>
          </cell>
          <cell r="CF24">
            <v>-2.8024628440268611</v>
          </cell>
          <cell r="CG24">
            <v>-0.77515181563764113</v>
          </cell>
          <cell r="CH24">
            <v>-0.55352949827231979</v>
          </cell>
          <cell r="CI24">
            <v>0.44042318892864074</v>
          </cell>
          <cell r="CJ24">
            <v>-0.23416932496881493</v>
          </cell>
          <cell r="CK24">
            <v>52.439108655336689</v>
          </cell>
          <cell r="CL24">
            <v>1.0211594591658153</v>
          </cell>
          <cell r="CM24">
            <v>8.9505990275327925</v>
          </cell>
          <cell r="CN24">
            <v>-0.79724516941626966</v>
          </cell>
          <cell r="CO24">
            <v>-8.9935059298227621E-2</v>
          </cell>
          <cell r="CP24">
            <v>-0.60274378673339346</v>
          </cell>
          <cell r="CQ24">
            <v>-0.45051867035371118</v>
          </cell>
          <cell r="CR24">
            <v>1.9961657852729024</v>
          </cell>
          <cell r="CS24">
            <v>-0.38330576670073196</v>
          </cell>
          <cell r="CT24">
            <v>-2.304035164788615</v>
          </cell>
        </row>
      </sheetData>
      <sheetData sheetId="2">
        <row r="2">
          <cell r="BY2" t="str">
            <v>Aberdeen</v>
          </cell>
          <cell r="BZ2" t="str">
            <v>Acadian</v>
          </cell>
          <cell r="CA2" t="str">
            <v>Amundi</v>
          </cell>
          <cell r="CB2" t="str">
            <v>Amundi-CPR</v>
          </cell>
          <cell r="CC2" t="str">
            <v>Amundi - KBIGI Water</v>
          </cell>
          <cell r="CD2" t="str">
            <v>Amundi - KBIGI Developed Equity</v>
          </cell>
          <cell r="CE2" t="str">
            <v>AQR (Equity)</v>
          </cell>
          <cell r="CF2" t="str">
            <v>AQR (Enhanced)</v>
          </cell>
          <cell r="CG2" t="str">
            <v>Arabesque (Systematic)</v>
          </cell>
          <cell r="CH2" t="str">
            <v>Arabesque (Sustainable Global Equity)</v>
          </cell>
          <cell r="CI2" t="str">
            <v>BlackRock (Alpha Tilts)</v>
          </cell>
          <cell r="CJ2" t="str">
            <v>BlackRock (BSF)</v>
          </cell>
          <cell r="CK2" t="str">
            <v>Calvert</v>
          </cell>
          <cell r="CL2" t="str">
            <v>Columbia (Equity)</v>
          </cell>
          <cell r="CM2" t="str">
            <v>Columbia (Sustainable)</v>
          </cell>
          <cell r="CN2" t="str">
            <v>GSAM (EME)</v>
          </cell>
          <cell r="CO2" t="str">
            <v>GSAM (GEP)</v>
          </cell>
          <cell r="CP2" t="str">
            <v>Jupiter</v>
          </cell>
          <cell r="CQ2" t="str">
            <v>Neuberger</v>
          </cell>
          <cell r="CR2" t="str">
            <v>Ownership</v>
          </cell>
          <cell r="CS2" t="str">
            <v>PanAgora</v>
          </cell>
          <cell r="CT2" t="str">
            <v>Robeco</v>
          </cell>
        </row>
        <row r="4">
          <cell r="BY4">
            <v>20</v>
          </cell>
          <cell r="BZ4">
            <v>36</v>
          </cell>
          <cell r="CA4">
            <v>36</v>
          </cell>
          <cell r="CB4">
            <v>6</v>
          </cell>
          <cell r="CC4">
            <v>36</v>
          </cell>
          <cell r="CD4">
            <v>36</v>
          </cell>
          <cell r="CE4">
            <v>36</v>
          </cell>
          <cell r="CF4">
            <v>36</v>
          </cell>
          <cell r="CG4">
            <v>36</v>
          </cell>
          <cell r="CH4">
            <v>36</v>
          </cell>
          <cell r="CI4">
            <v>36</v>
          </cell>
          <cell r="CJ4">
            <v>36</v>
          </cell>
          <cell r="CK4">
            <v>6</v>
          </cell>
          <cell r="CL4">
            <v>36</v>
          </cell>
          <cell r="CM4">
            <v>6</v>
          </cell>
          <cell r="CN4">
            <v>36</v>
          </cell>
          <cell r="CO4">
            <v>36</v>
          </cell>
          <cell r="CP4">
            <v>36</v>
          </cell>
          <cell r="CQ4">
            <v>36</v>
          </cell>
          <cell r="CR4">
            <v>36</v>
          </cell>
          <cell r="CS4">
            <v>19</v>
          </cell>
          <cell r="CT4">
            <v>15</v>
          </cell>
        </row>
        <row r="5">
          <cell r="BY5">
            <v>2.664999999999999E-3</v>
          </cell>
          <cell r="BZ5">
            <v>9.6387809289788431E-3</v>
          </cell>
          <cell r="CA5">
            <v>9.1327562028200842E-3</v>
          </cell>
          <cell r="CB5">
            <v>2.5950000000000001E-2</v>
          </cell>
          <cell r="CC5">
            <v>9.3194444444444427E-3</v>
          </cell>
          <cell r="CD5">
            <v>7.9638888888888884E-3</v>
          </cell>
          <cell r="CE5">
            <v>9.0045457352441027E-3</v>
          </cell>
          <cell r="CF5">
            <v>8.6229459020168101E-3</v>
          </cell>
          <cell r="CG5">
            <v>9.190315923042815E-3</v>
          </cell>
          <cell r="CH5">
            <v>1.0670508730882296E-2</v>
          </cell>
          <cell r="CI5">
            <v>1.1208444444444448E-2</v>
          </cell>
          <cell r="CJ5">
            <v>1.1290766666666667E-2</v>
          </cell>
          <cell r="CK5">
            <v>2.7949999999999999E-2</v>
          </cell>
          <cell r="CL5">
            <v>1.2897914171921945E-2</v>
          </cell>
          <cell r="CM5">
            <v>3.4916666666666665E-2</v>
          </cell>
          <cell r="CN5">
            <v>9.5678333333333344E-3</v>
          </cell>
          <cell r="CO5">
            <v>1.0725E-2</v>
          </cell>
          <cell r="CP5">
            <v>8.2283843969664077E-3</v>
          </cell>
          <cell r="CQ5">
            <v>1.1025074256055558E-2</v>
          </cell>
          <cell r="CR5">
            <v>1.7223116070875441E-2</v>
          </cell>
          <cell r="CS5">
            <v>5.2310526315789471E-3</v>
          </cell>
          <cell r="CT5">
            <v>3.3429228700697423E-3</v>
          </cell>
        </row>
        <row r="6">
          <cell r="BY6">
            <v>3.8080825555652016</v>
          </cell>
          <cell r="BZ6">
            <v>3.2867053261442929</v>
          </cell>
          <cell r="CA6">
            <v>3.2151201091811425</v>
          </cell>
          <cell r="CB6">
            <v>4.7149575819937137</v>
          </cell>
          <cell r="CC6">
            <v>3.7065518713072603</v>
          </cell>
          <cell r="CD6">
            <v>3.3491227315504064</v>
          </cell>
          <cell r="CE6">
            <v>3.4553944975840438</v>
          </cell>
          <cell r="CF6">
            <v>3.3468681314153477</v>
          </cell>
          <cell r="CG6">
            <v>3.15259915167365</v>
          </cell>
          <cell r="CH6">
            <v>3.121048829848704</v>
          </cell>
          <cell r="CI6">
            <v>3.2878636655166673</v>
          </cell>
          <cell r="CJ6">
            <v>3.3000920211824725</v>
          </cell>
          <cell r="CK6">
            <v>4.5392941815514307</v>
          </cell>
          <cell r="CL6">
            <v>3.733210540162621</v>
          </cell>
          <cell r="CM6">
            <v>3.2548805234942528</v>
          </cell>
          <cell r="CN6">
            <v>3.5189916254123457</v>
          </cell>
          <cell r="CO6">
            <v>3.2412080119404036</v>
          </cell>
          <cell r="CP6">
            <v>4.1915443375822266</v>
          </cell>
          <cell r="CQ6">
            <v>3.0525272370777201</v>
          </cell>
          <cell r="CR6">
            <v>3.704136076329732</v>
          </cell>
          <cell r="CS6">
            <v>4.2093503012214795</v>
          </cell>
          <cell r="CT6">
            <v>4.4793251824575568</v>
          </cell>
        </row>
        <row r="7">
          <cell r="BY7">
            <v>13.191584931311322</v>
          </cell>
          <cell r="BZ7">
            <v>11.385481228778305</v>
          </cell>
          <cell r="CA7">
            <v>11.137502763076268</v>
          </cell>
          <cell r="CB7">
            <v>16.333092175090425</v>
          </cell>
          <cell r="CC7">
            <v>12.839872323987347</v>
          </cell>
          <cell r="CD7">
            <v>11.60170146365833</v>
          </cell>
          <cell r="CE7">
            <v>11.969837660018996</v>
          </cell>
          <cell r="CF7">
            <v>11.593891299688984</v>
          </cell>
          <cell r="CG7">
            <v>10.920923813194605</v>
          </cell>
          <cell r="CH7">
            <v>10.811630292402693</v>
          </cell>
          <cell r="CI7">
            <v>11.389493834069025</v>
          </cell>
          <cell r="CJ7">
            <v>11.43185410068142</v>
          </cell>
          <cell r="CK7">
            <v>15.724576305897722</v>
          </cell>
          <cell r="CL7">
            <v>12.932220661826625</v>
          </cell>
          <cell r="CM7">
            <v>11.275236878516861</v>
          </cell>
          <cell r="CN7">
            <v>12.190144573247139</v>
          </cell>
          <cell r="CO7">
            <v>11.227873909160182</v>
          </cell>
          <cell r="CP7">
            <v>14.519935509740099</v>
          </cell>
          <cell r="CQ7">
            <v>10.574264532212917</v>
          </cell>
          <cell r="CR7">
            <v>12.831503764703848</v>
          </cell>
          <cell r="CS7">
            <v>14.58161717714192</v>
          </cell>
          <cell r="CT7">
            <v>15.516837599278439</v>
          </cell>
        </row>
        <row r="8">
          <cell r="BY8">
            <v>0.24083616031502644</v>
          </cell>
          <cell r="BZ8">
            <v>3.0559448957007787</v>
          </cell>
          <cell r="CA8">
            <v>2.9279255060662321</v>
          </cell>
          <cell r="CB8">
            <v>6.9574425054528657</v>
          </cell>
          <cell r="CC8">
            <v>2.5425524728297439</v>
          </cell>
          <cell r="CD8">
            <v>2.3334572888157989</v>
          </cell>
          <cell r="CE8">
            <v>2.6426953634670851</v>
          </cell>
          <cell r="CF8">
            <v>2.5932576002815297</v>
          </cell>
          <cell r="CG8">
            <v>3.0127425858253831</v>
          </cell>
          <cell r="CH8">
            <v>3.6799822456765177</v>
          </cell>
          <cell r="CI8">
            <v>3.6946907660939727</v>
          </cell>
          <cell r="CJ8">
            <v>3.7126359776268743</v>
          </cell>
          <cell r="CK8">
            <v>7.9560158249663919</v>
          </cell>
          <cell r="CL8">
            <v>3.8110136778534538</v>
          </cell>
          <cell r="CM8">
            <v>14.939022812428524</v>
          </cell>
          <cell r="CN8">
            <v>2.7994119638284412</v>
          </cell>
          <cell r="CO8">
            <v>3.55276434908341</v>
          </cell>
          <cell r="CP8">
            <v>1.8482212004533989</v>
          </cell>
          <cell r="CQ8">
            <v>3.9314269758899463</v>
          </cell>
          <cell r="CR8">
            <v>5.4863737891364401</v>
          </cell>
          <cell r="CS8">
            <v>0.92657444811042455</v>
          </cell>
          <cell r="CT8">
            <v>0.31122462810832047</v>
          </cell>
        </row>
        <row r="9">
          <cell r="BY9">
            <v>1.4493709928081817</v>
          </cell>
          <cell r="BZ9">
            <v>0.97685539252643749</v>
          </cell>
          <cell r="CA9">
            <v>0.90438038727867209</v>
          </cell>
          <cell r="CB9">
            <v>2.0123465807255791</v>
          </cell>
          <cell r="CC9">
            <v>1.044697433320217</v>
          </cell>
          <cell r="CD9">
            <v>1.0063546643732528</v>
          </cell>
          <cell r="CE9">
            <v>1.0549805929528489</v>
          </cell>
          <cell r="CF9">
            <v>1.0260727947000539</v>
          </cell>
          <cell r="CG9">
            <v>0.8208059296096154</v>
          </cell>
          <cell r="CH9">
            <v>0.85526597054995601</v>
          </cell>
          <cell r="CI9">
            <v>1.0170538176483837</v>
          </cell>
          <cell r="CJ9">
            <v>0.99998726121681547</v>
          </cell>
          <cell r="CK9">
            <v>1.9433969611595281</v>
          </cell>
          <cell r="CL9">
            <v>1.1345550249100433</v>
          </cell>
          <cell r="CM9">
            <v>1.3658853806578557</v>
          </cell>
          <cell r="CN9">
            <v>0.73643852558430545</v>
          </cell>
          <cell r="CO9">
            <v>0.96378069393740706</v>
          </cell>
          <cell r="CP9">
            <v>1.2134324862656374</v>
          </cell>
          <cell r="CQ9">
            <v>0.93365002100889449</v>
          </cell>
          <cell r="CR9">
            <v>1.034587149504413</v>
          </cell>
          <cell r="CS9">
            <v>1.6837858114855808</v>
          </cell>
          <cell r="CT9">
            <v>1.7230458190300029</v>
          </cell>
        </row>
        <row r="10">
          <cell r="BY10">
            <v>-1.8501584425713811</v>
          </cell>
          <cell r="BZ10">
            <v>-5.9997067303509566E-2</v>
          </cell>
          <cell r="CA10">
            <v>-2.9049723326223742E-2</v>
          </cell>
          <cell r="CB10">
            <v>1.1482936532524306</v>
          </cell>
          <cell r="CC10">
            <v>-0.23416013676916259</v>
          </cell>
          <cell r="CD10">
            <v>-0.37085685246307709</v>
          </cell>
          <cell r="CE10">
            <v>-0.28438948232155414</v>
          </cell>
          <cell r="CF10">
            <v>-0.29614590606402913</v>
          </cell>
          <cell r="CG10">
            <v>0.10398527885223857</v>
          </cell>
          <cell r="CH10">
            <v>0.29179640837979043</v>
          </cell>
          <cell r="CI10">
            <v>0.13332026659338148</v>
          </cell>
          <cell r="CJ10">
            <v>0.17094846699909094</v>
          </cell>
          <cell r="CK10">
            <v>1.6469771365913715</v>
          </cell>
          <cell r="CL10">
            <v>0.21007030238091828</v>
          </cell>
          <cell r="CM10">
            <v>3.9975386365221226</v>
          </cell>
          <cell r="CN10">
            <v>0.27044248053851105</v>
          </cell>
          <cell r="CO10">
            <v>0.13578308200358674</v>
          </cell>
          <cell r="CP10">
            <v>-0.68358607379576652</v>
          </cell>
          <cell r="CQ10">
            <v>0.23836157666126701</v>
          </cell>
          <cell r="CR10">
            <v>1.0884899386694888</v>
          </cell>
          <cell r="CS10">
            <v>-1.8369383461471025</v>
          </cell>
          <cell r="CT10">
            <v>-2.1954227775966837</v>
          </cell>
        </row>
        <row r="11">
          <cell r="BY11">
            <v>6.3277379318045597E-3</v>
          </cell>
          <cell r="BZ11">
            <v>0.1028196234769865</v>
          </cell>
          <cell r="CA11">
            <v>0.10408930031160923</v>
          </cell>
          <cell r="CB11">
            <v>0.16301389932812854</v>
          </cell>
          <cell r="CC11">
            <v>9.0208919113667865E-2</v>
          </cell>
          <cell r="CD11">
            <v>7.7656865176275569E-2</v>
          </cell>
          <cell r="CE11">
            <v>8.6556616099981235E-2</v>
          </cell>
          <cell r="CF11">
            <v>8.4587480184289091E-2</v>
          </cell>
          <cell r="CG11">
            <v>0.11571516941649683</v>
          </cell>
          <cell r="CH11">
            <v>0.13429043919925071</v>
          </cell>
          <cell r="CI11">
            <v>0.11943949586903768</v>
          </cell>
          <cell r="CJ11">
            <v>0.12252196445395488</v>
          </cell>
          <cell r="CK11">
            <v>0.18583283325221014</v>
          </cell>
          <cell r="CL11">
            <v>0.12539996843250936</v>
          </cell>
          <cell r="CM11">
            <v>0.355994251646435</v>
          </cell>
          <cell r="CN11">
            <v>0.1337668646405393</v>
          </cell>
          <cell r="CO11">
            <v>0.11947996411653834</v>
          </cell>
          <cell r="CP11">
            <v>6.3842868845559855E-2</v>
          </cell>
          <cell r="CQ11">
            <v>0.12853625721036457</v>
          </cell>
          <cell r="CR11">
            <v>0.19642883724493287</v>
          </cell>
          <cell r="CS11">
            <v>2.3163732617609969E-2</v>
          </cell>
          <cell r="CT11">
            <v>8.0907675158133057E-3</v>
          </cell>
        </row>
        <row r="12">
          <cell r="BY12">
            <v>-0.10052396454743186</v>
          </cell>
          <cell r="BZ12">
            <v>-9.908199873600157E-3</v>
          </cell>
          <cell r="CA12">
            <v>-1.4029026447363757E-2</v>
          </cell>
          <cell r="CB12">
            <v>0.11567742487931616</v>
          </cell>
          <cell r="CC12">
            <v>-2.6433830443900394E-2</v>
          </cell>
          <cell r="CD12">
            <v>-3.3164412375202873E-2</v>
          </cell>
          <cell r="CE12">
            <v>-2.3210322769868355E-2</v>
          </cell>
          <cell r="CF12">
            <v>-2.4801678961020604E-2</v>
          </cell>
          <cell r="CG12">
            <v>-1.129884254960975E-2</v>
          </cell>
          <cell r="CH12">
            <v>1.0178989279089695E-2</v>
          </cell>
          <cell r="CI12">
            <v>1.0652443042383025E-2</v>
          </cell>
          <cell r="CJ12">
            <v>1.1230082919964759E-2</v>
          </cell>
          <cell r="CK12">
            <v>0.14782058290131189</v>
          </cell>
          <cell r="CL12">
            <v>1.4396770735901995E-2</v>
          </cell>
          <cell r="CM12">
            <v>0.37259716433054846</v>
          </cell>
          <cell r="CN12">
            <v>-1.8165759339574566E-2</v>
          </cell>
          <cell r="CO12">
            <v>6.0839620302039626E-3</v>
          </cell>
          <cell r="CP12">
            <v>-4.8783716397671706E-2</v>
          </cell>
          <cell r="CQ12">
            <v>1.8272764206889405E-2</v>
          </cell>
          <cell r="CR12">
            <v>6.8325073994547028E-2</v>
          </cell>
          <cell r="CS12">
            <v>-7.8450678875150628E-2</v>
          </cell>
          <cell r="CT12">
            <v>-9.8258224416994333E-2</v>
          </cell>
        </row>
        <row r="13">
          <cell r="BY13">
            <v>3.4017895648981765E-3</v>
          </cell>
          <cell r="BZ13">
            <v>3.3766812736283715E-2</v>
          </cell>
          <cell r="CA13">
            <v>4.5281928995525356E-2</v>
          </cell>
          <cell r="CC13">
            <v>3.0903736047597722E-2</v>
          </cell>
          <cell r="CD13">
            <v>2.671647620827915E-2</v>
          </cell>
          <cell r="CE13">
            <v>2.9441806299868537E-2</v>
          </cell>
          <cell r="CF13">
            <v>2.8918157571059731E-2</v>
          </cell>
          <cell r="CG13">
            <v>3.0771668716341363E-2</v>
          </cell>
          <cell r="CH13">
            <v>3.826326765035433E-2</v>
          </cell>
          <cell r="CI13">
            <v>4.8238191320572318E-2</v>
          </cell>
          <cell r="CJ13">
            <v>4.460188531045544E-2</v>
          </cell>
          <cell r="CL13">
            <v>4.5231095540313682E-2</v>
          </cell>
          <cell r="CN13">
            <v>4.4110140239588425E-2</v>
          </cell>
          <cell r="CO13">
            <v>4.6181197070734446E-2</v>
          </cell>
          <cell r="CP13">
            <v>2.2871456388015361E-2</v>
          </cell>
          <cell r="CQ13">
            <v>4.6154215422823164E-2</v>
          </cell>
          <cell r="CR13">
            <v>6.8278784780830395E-2</v>
          </cell>
          <cell r="CS13">
            <v>1.5685976059894129E-2</v>
          </cell>
          <cell r="CT13">
            <v>4.3107279580995089E-3</v>
          </cell>
        </row>
        <row r="14">
          <cell r="BY14">
            <v>-0.3690030717987165</v>
          </cell>
          <cell r="BZ14">
            <v>-0.94173607083398236</v>
          </cell>
          <cell r="CA14">
            <v>-0.46513568276845252</v>
          </cell>
          <cell r="CB14">
            <v>-0.81425147479496929</v>
          </cell>
          <cell r="CC14">
            <v>-0.86369991446673666</v>
          </cell>
          <cell r="CD14">
            <v>-0.9554315372090243</v>
          </cell>
          <cell r="CE14">
            <v>-0.79278713384182753</v>
          </cell>
          <cell r="CF14">
            <v>-0.81980844887205173</v>
          </cell>
          <cell r="CG14">
            <v>-1.7085014315559386</v>
          </cell>
          <cell r="CH14">
            <v>-1.4850949332084098</v>
          </cell>
          <cell r="CI14">
            <v>-0.67833479380027262</v>
          </cell>
          <cell r="CJ14">
            <v>-0.76116156275972946</v>
          </cell>
          <cell r="CK14">
            <v>-0.86560713799703282</v>
          </cell>
          <cell r="CL14">
            <v>-0.80593753234759524</v>
          </cell>
          <cell r="CM14">
            <v>-0.72287479651364672</v>
          </cell>
          <cell r="CN14">
            <v>-0.53645638486128155</v>
          </cell>
          <cell r="CO14">
            <v>-0.86176514946681992</v>
          </cell>
          <cell r="CP14">
            <v>-0.51076700376104378</v>
          </cell>
          <cell r="CQ14">
            <v>-0.79778200687501288</v>
          </cell>
          <cell r="CR14">
            <v>-0.69326260044374033</v>
          </cell>
          <cell r="CS14">
            <v>-0.49954963336229746</v>
          </cell>
          <cell r="CT14">
            <v>-0.62860869188536994</v>
          </cell>
        </row>
        <row r="15">
          <cell r="BY15">
            <v>-8.2899999999999991</v>
          </cell>
          <cell r="BZ15">
            <v>-8.0919668266055638</v>
          </cell>
          <cell r="CA15">
            <v>-7.0689655172413213</v>
          </cell>
          <cell r="CB15">
            <v>-6.44</v>
          </cell>
          <cell r="CC15">
            <v>-9.27</v>
          </cell>
          <cell r="CD15">
            <v>-7.63</v>
          </cell>
          <cell r="CE15">
            <v>-8.2251155602070209</v>
          </cell>
          <cell r="CF15">
            <v>-8.4694558415012189</v>
          </cell>
          <cell r="CG15">
            <v>-10.908963593492622</v>
          </cell>
          <cell r="CH15">
            <v>-9.7587170281152709</v>
          </cell>
          <cell r="CI15">
            <v>-7.5370999999999997</v>
          </cell>
          <cell r="CJ15">
            <v>-7.5513000000000003</v>
          </cell>
          <cell r="CK15">
            <v>-6.03</v>
          </cell>
          <cell r="CL15">
            <v>-9.2544656556370199</v>
          </cell>
          <cell r="CM15">
            <v>-2.5099999999999998</v>
          </cell>
          <cell r="CN15">
            <v>-7.4290000000000003</v>
          </cell>
          <cell r="CO15">
            <v>-7.2614000000000001</v>
          </cell>
          <cell r="CP15">
            <v>-10.053433872427901</v>
          </cell>
          <cell r="CQ15">
            <v>-7.4592784097999996</v>
          </cell>
          <cell r="CR15">
            <v>-9.0808815155145002</v>
          </cell>
          <cell r="CS15">
            <v>-8.5129999999999999</v>
          </cell>
          <cell r="CT15">
            <v>-8.4558606147766113</v>
          </cell>
        </row>
        <row r="16">
          <cell r="BY16">
            <v>7.13</v>
          </cell>
          <cell r="BZ16">
            <v>8.7966741107309208</v>
          </cell>
          <cell r="CA16">
            <v>6.7896642312539557</v>
          </cell>
          <cell r="CB16">
            <v>7.63</v>
          </cell>
          <cell r="CC16">
            <v>8.85</v>
          </cell>
          <cell r="CD16">
            <v>7.19</v>
          </cell>
          <cell r="CE16">
            <v>8.9443704332136402</v>
          </cell>
          <cell r="CF16">
            <v>8.3803511272591411</v>
          </cell>
          <cell r="CG16">
            <v>4.952962990124159</v>
          </cell>
          <cell r="CH16">
            <v>5.5106289377625739</v>
          </cell>
          <cell r="CI16">
            <v>8.7512000000000008</v>
          </cell>
          <cell r="CJ16">
            <v>8.2220499999999994</v>
          </cell>
          <cell r="CK16">
            <v>7.99</v>
          </cell>
          <cell r="CL16">
            <v>9.90465380220407</v>
          </cell>
          <cell r="CM16">
            <v>7.07</v>
          </cell>
          <cell r="CN16">
            <v>6.8048999999999999</v>
          </cell>
          <cell r="CO16">
            <v>7.2920999999999996</v>
          </cell>
          <cell r="CP16">
            <v>10.2560832321386</v>
          </cell>
          <cell r="CQ16">
            <v>7.8102134350999997</v>
          </cell>
          <cell r="CR16">
            <v>9.2541806896938006</v>
          </cell>
          <cell r="CS16">
            <v>7.2298999999999998</v>
          </cell>
          <cell r="CT16">
            <v>7.9776786267757416</v>
          </cell>
        </row>
        <row r="17">
          <cell r="BY17">
            <v>0.96472284499666583</v>
          </cell>
          <cell r="BZ17">
            <v>0.95670511283277282</v>
          </cell>
          <cell r="CA17">
            <v>0.90544592598917173</v>
          </cell>
          <cell r="CB17">
            <v>0.9964245395300847</v>
          </cell>
          <cell r="CC17">
            <v>0.90725429052694573</v>
          </cell>
          <cell r="CD17">
            <v>0.96722738946353737</v>
          </cell>
          <cell r="CE17">
            <v>0.98277798297297181</v>
          </cell>
          <cell r="CF17">
            <v>0.98684320907407064</v>
          </cell>
          <cell r="CG17">
            <v>0.83807004123124518</v>
          </cell>
          <cell r="CH17">
            <v>0.88208251710985863</v>
          </cell>
          <cell r="CI17">
            <v>0.99572341234895245</v>
          </cell>
          <cell r="CJ17">
            <v>0.97538708921411676</v>
          </cell>
          <cell r="CK17">
            <v>0.99952259111576336</v>
          </cell>
          <cell r="CL17">
            <v>0.97825407472489723</v>
          </cell>
          <cell r="CM17">
            <v>0.97971245576995036</v>
          </cell>
          <cell r="CN17">
            <v>0.67363842500267712</v>
          </cell>
          <cell r="CO17">
            <v>0.95714978012742846</v>
          </cell>
          <cell r="CP17">
            <v>0.93185885959821868</v>
          </cell>
          <cell r="CQ17">
            <v>0.98453950898345288</v>
          </cell>
          <cell r="CR17">
            <v>0.89906011675827135</v>
          </cell>
          <cell r="CS17">
            <v>0.99139187273331886</v>
          </cell>
          <cell r="CT17">
            <v>0.92961530409230264</v>
          </cell>
        </row>
        <row r="19">
          <cell r="BY19">
            <v>3.7574310523015582</v>
          </cell>
          <cell r="BZ19">
            <v>3.3238806047842546</v>
          </cell>
          <cell r="CA19">
            <v>4.8461876818751604</v>
          </cell>
          <cell r="CB19">
            <v>1.6478453659248498</v>
          </cell>
          <cell r="CC19">
            <v>5.4231767033569289</v>
          </cell>
          <cell r="CD19">
            <v>2.9466604198494615</v>
          </cell>
          <cell r="CE19">
            <v>2.2952984589923617</v>
          </cell>
          <cell r="CF19">
            <v>1.8969138424222387</v>
          </cell>
          <cell r="CG19">
            <v>6.2841741457758085</v>
          </cell>
          <cell r="CH19">
            <v>5.3428774972835642</v>
          </cell>
          <cell r="CI19">
            <v>1.0692574008005118</v>
          </cell>
          <cell r="CJ19">
            <v>2.5207180315794209</v>
          </cell>
          <cell r="CK19">
            <v>0.5947220779490201</v>
          </cell>
          <cell r="CL19">
            <v>3.0733873870450212</v>
          </cell>
          <cell r="CM19">
            <v>4.8819898624092479</v>
          </cell>
          <cell r="CN19">
            <v>9.4764854897041939</v>
          </cell>
          <cell r="CO19">
            <v>3.2765034484470155</v>
          </cell>
          <cell r="CP19">
            <v>5.7807630162213179</v>
          </cell>
          <cell r="CQ19">
            <v>1.9945109004311139</v>
          </cell>
          <cell r="CR19">
            <v>5.6311780692827318</v>
          </cell>
          <cell r="CS19">
            <v>1.9093210202419992</v>
          </cell>
          <cell r="CT19">
            <v>5.7343946387386966</v>
          </cell>
        </row>
        <row r="21">
          <cell r="BY21">
            <v>2.3454850919560677E-2</v>
          </cell>
          <cell r="BZ21">
            <v>0.11472351476214326</v>
          </cell>
          <cell r="CA21">
            <v>0.10841993283849027</v>
          </cell>
          <cell r="CB21">
            <v>0.34232407403481435</v>
          </cell>
          <cell r="CC21">
            <v>0.108524637371751</v>
          </cell>
          <cell r="CD21">
            <v>9.2433959601860849E-2</v>
          </cell>
          <cell r="CE21">
            <v>0.10559916128826141</v>
          </cell>
          <cell r="CF21">
            <v>0.10107652330044004</v>
          </cell>
          <cell r="CG21">
            <v>0.10926330831395292</v>
          </cell>
          <cell r="CH21">
            <v>0.12913765392843812</v>
          </cell>
          <cell r="CI21">
            <v>0.13576000636271424</v>
          </cell>
          <cell r="CJ21">
            <v>0.13680401478432547</v>
          </cell>
          <cell r="CK21">
            <v>0.37543057453712159</v>
          </cell>
          <cell r="CL21">
            <v>0.15655677541977542</v>
          </cell>
          <cell r="CM21">
            <v>0.50053095503321043</v>
          </cell>
          <cell r="CN21">
            <v>0.11279468367902523</v>
          </cell>
          <cell r="CO21">
            <v>0.12943609383896493</v>
          </cell>
          <cell r="CP21">
            <v>9.1752622184709809E-2</v>
          </cell>
          <cell r="CQ21">
            <v>0.13429149035597265</v>
          </cell>
          <cell r="CR21">
            <v>0.2175063619168125</v>
          </cell>
          <cell r="CS21">
            <v>5.3286375433688526E-2</v>
          </cell>
          <cell r="CT21">
            <v>2.8224374251976991E-2</v>
          </cell>
        </row>
        <row r="22">
          <cell r="BY22">
            <v>-9.9105019545124184E-2</v>
          </cell>
          <cell r="BZ22">
            <v>-7.8363557025415975E-3</v>
          </cell>
          <cell r="CA22">
            <v>-1.4139937626194587E-2</v>
          </cell>
          <cell r="CB22">
            <v>0.21976420357012949</v>
          </cell>
          <cell r="CC22">
            <v>-1.4035233092933863E-2</v>
          </cell>
          <cell r="CD22">
            <v>-3.0125910862824012E-2</v>
          </cell>
          <cell r="CE22">
            <v>-1.696070917642345E-2</v>
          </cell>
          <cell r="CF22">
            <v>-2.1483347164244826E-2</v>
          </cell>
          <cell r="CG22">
            <v>-1.3296562150731939E-2</v>
          </cell>
          <cell r="CH22">
            <v>6.5777834637532617E-3</v>
          </cell>
          <cell r="CI22">
            <v>1.3200135898029375E-2</v>
          </cell>
          <cell r="CJ22">
            <v>1.4244144319640606E-2</v>
          </cell>
          <cell r="CK22">
            <v>0.25287070407243672</v>
          </cell>
          <cell r="CL22">
            <v>3.3996904955090557E-2</v>
          </cell>
          <cell r="CM22">
            <v>0.37797108456852557</v>
          </cell>
          <cell r="CN22">
            <v>-9.7651867856596297E-3</v>
          </cell>
          <cell r="CO22">
            <v>6.876223374280066E-3</v>
          </cell>
          <cell r="CP22">
            <v>-3.0807248279975052E-2</v>
          </cell>
          <cell r="CQ22">
            <v>1.1731619891287792E-2</v>
          </cell>
          <cell r="CR22">
            <v>9.4946491452127635E-2</v>
          </cell>
          <cell r="CS22">
            <v>-6.9273495030996335E-2</v>
          </cell>
          <cell r="CT22">
            <v>-9.433549621270787E-2</v>
          </cell>
        </row>
        <row r="23">
          <cell r="BY23">
            <v>9.1712398084495654E-3</v>
          </cell>
          <cell r="BZ23">
            <v>0.10043990365103216</v>
          </cell>
          <cell r="CA23">
            <v>9.4136321727379166E-2</v>
          </cell>
          <cell r="CB23">
            <v>0.32804046292370326</v>
          </cell>
          <cell r="CC23">
            <v>9.424102626063989E-2</v>
          </cell>
          <cell r="CD23">
            <v>7.8150348490749741E-2</v>
          </cell>
          <cell r="CE23">
            <v>9.1315550177150304E-2</v>
          </cell>
          <cell r="CF23">
            <v>8.6792912189328927E-2</v>
          </cell>
          <cell r="CG23">
            <v>9.4979697202841815E-2</v>
          </cell>
          <cell r="CH23">
            <v>0.11485404281732702</v>
          </cell>
          <cell r="CI23">
            <v>0.12147639525160313</v>
          </cell>
          <cell r="CJ23">
            <v>0.12252040367321436</v>
          </cell>
          <cell r="CK23">
            <v>0.36114696342601049</v>
          </cell>
          <cell r="CL23">
            <v>0.1422731643086643</v>
          </cell>
          <cell r="CM23">
            <v>0.48624734392209934</v>
          </cell>
          <cell r="CN23">
            <v>9.8511072567914124E-2</v>
          </cell>
          <cell r="CO23">
            <v>0.11515248272785382</v>
          </cell>
          <cell r="CP23">
            <v>7.7469011073598701E-2</v>
          </cell>
          <cell r="CQ23">
            <v>0.12000787924486155</v>
          </cell>
          <cell r="CR23">
            <v>0.20322275080570137</v>
          </cell>
          <cell r="CS23">
            <v>3.9002764322577418E-2</v>
          </cell>
          <cell r="CT23">
            <v>1.394076314086588E-2</v>
          </cell>
        </row>
        <row r="24">
          <cell r="BY24">
            <v>-2.6375738680399441</v>
          </cell>
          <cell r="BZ24">
            <v>-0.2357592415101275</v>
          </cell>
          <cell r="CA24">
            <v>-0.29177445353753506</v>
          </cell>
          <cell r="CB24">
            <v>13.33645790524691</v>
          </cell>
          <cell r="CC24">
            <v>-0.25880095487661503</v>
          </cell>
          <cell r="CD24">
            <v>-1.0223747079876642</v>
          </cell>
          <cell r="CE24">
            <v>-0.73893262595005693</v>
          </cell>
          <cell r="CF24">
            <v>-1.132542062997018</v>
          </cell>
          <cell r="CG24">
            <v>-0.21158805981959977</v>
          </cell>
          <cell r="CH24">
            <v>0.12311312522320697</v>
          </cell>
          <cell r="CI24">
            <v>1.2345143356638861</v>
          </cell>
          <cell r="CJ24">
            <v>0.56508281137321692</v>
          </cell>
          <cell r="CK24">
            <v>42.51913850995674</v>
          </cell>
          <cell r="CL24">
            <v>1.1061705107008217</v>
          </cell>
          <cell r="CM24">
            <v>7.7421521801767517</v>
          </cell>
          <cell r="CN24">
            <v>-0.10304650174655042</v>
          </cell>
          <cell r="CO24">
            <v>0.20986467685664215</v>
          </cell>
          <cell r="CP24">
            <v>-0.53292702353525423</v>
          </cell>
          <cell r="CQ24">
            <v>0.58819532591935197</v>
          </cell>
          <cell r="CR24">
            <v>1.6860857583255469</v>
          </cell>
          <cell r="CS24">
            <v>-3.6281743246201827</v>
          </cell>
          <cell r="CT24">
            <v>-1.6450820383972968</v>
          </cell>
        </row>
      </sheetData>
      <sheetData sheetId="3">
        <row r="2">
          <cell r="BY2" t="str">
            <v>Aberdeen</v>
          </cell>
          <cell r="BZ2" t="str">
            <v>Acadian</v>
          </cell>
          <cell r="CA2" t="str">
            <v>Amundi</v>
          </cell>
          <cell r="CB2" t="str">
            <v>Amundi-CPR</v>
          </cell>
          <cell r="CC2" t="str">
            <v>Amundi - KBIGI Water</v>
          </cell>
          <cell r="CD2" t="str">
            <v>Amundi - KBIGI Developed Equity</v>
          </cell>
          <cell r="CE2" t="str">
            <v>AQR (Equity)</v>
          </cell>
          <cell r="CF2" t="str">
            <v>AQR (Enhanced)</v>
          </cell>
          <cell r="CG2" t="str">
            <v>Arabesque (Systematic)</v>
          </cell>
          <cell r="CH2" t="str">
            <v>Arabesque (Sustainable Global Equity)</v>
          </cell>
          <cell r="CI2" t="str">
            <v>BlackRock (Alpha Tilts)</v>
          </cell>
          <cell r="CJ2" t="str">
            <v>BlackRock (BSF)</v>
          </cell>
          <cell r="CK2" t="str">
            <v>Calvert</v>
          </cell>
          <cell r="CL2" t="str">
            <v>Columbia (Equity)</v>
          </cell>
          <cell r="CM2" t="str">
            <v>Columbia (Sustainable)</v>
          </cell>
          <cell r="CN2" t="str">
            <v>GSAM (EME)</v>
          </cell>
          <cell r="CO2" t="str">
            <v>GSAM (GEP)</v>
          </cell>
          <cell r="CP2" t="str">
            <v>Jupiter</v>
          </cell>
          <cell r="CQ2" t="str">
            <v>Neuberger</v>
          </cell>
          <cell r="CR2" t="str">
            <v>Ownership</v>
          </cell>
          <cell r="CS2" t="str">
            <v>PanAgora</v>
          </cell>
          <cell r="CT2" t="str">
            <v>Robeco</v>
          </cell>
        </row>
        <row r="4">
          <cell r="BY4">
            <v>20</v>
          </cell>
          <cell r="BZ4">
            <v>60</v>
          </cell>
          <cell r="CA4">
            <v>60</v>
          </cell>
          <cell r="CB4">
            <v>6</v>
          </cell>
          <cell r="CC4">
            <v>60</v>
          </cell>
          <cell r="CD4">
            <v>60</v>
          </cell>
          <cell r="CE4">
            <v>60</v>
          </cell>
          <cell r="CF4">
            <v>60</v>
          </cell>
          <cell r="CG4">
            <v>59</v>
          </cell>
          <cell r="CH4">
            <v>60</v>
          </cell>
          <cell r="CI4">
            <v>43</v>
          </cell>
          <cell r="CJ4">
            <v>46</v>
          </cell>
          <cell r="CK4">
            <v>6</v>
          </cell>
          <cell r="CL4">
            <v>60</v>
          </cell>
          <cell r="CM4">
            <v>6</v>
          </cell>
          <cell r="CN4">
            <v>54</v>
          </cell>
          <cell r="CO4">
            <v>60</v>
          </cell>
          <cell r="CP4">
            <v>60</v>
          </cell>
          <cell r="CQ4">
            <v>60</v>
          </cell>
          <cell r="CR4">
            <v>60</v>
          </cell>
          <cell r="CS4">
            <v>19</v>
          </cell>
          <cell r="CT4">
            <v>15</v>
          </cell>
        </row>
        <row r="5">
          <cell r="BY5">
            <v>2.664999999999999E-3</v>
          </cell>
          <cell r="BZ5">
            <v>5.0639360702962946E-3</v>
          </cell>
          <cell r="CA5">
            <v>3.2203209458734334E-3</v>
          </cell>
          <cell r="CB5">
            <v>2.5950000000000001E-2</v>
          </cell>
          <cell r="CC5">
            <v>4.0033333333333336E-3</v>
          </cell>
          <cell r="CD5">
            <v>4.4616666666666667E-3</v>
          </cell>
          <cell r="CE5">
            <v>5.6207096990114093E-3</v>
          </cell>
          <cell r="CF5">
            <v>5.1766214873986771E-3</v>
          </cell>
          <cell r="CG5">
            <v>7.0761633486867755E-3</v>
          </cell>
          <cell r="CH5">
            <v>8.1774809853086636E-3</v>
          </cell>
          <cell r="CI5">
            <v>9.2147674418604671E-3</v>
          </cell>
          <cell r="CJ5">
            <v>9.0007086956521726E-3</v>
          </cell>
          <cell r="CK5">
            <v>2.7949999999999999E-2</v>
          </cell>
          <cell r="CL5">
            <v>8.5020496346768365E-3</v>
          </cell>
          <cell r="CM5">
            <v>3.4916666666666665E-2</v>
          </cell>
          <cell r="CN5">
            <v>6.0127037037037041E-3</v>
          </cell>
          <cell r="CO5">
            <v>6.2349333333333347E-3</v>
          </cell>
          <cell r="CP5">
            <v>3.4131332519954627E-3</v>
          </cell>
          <cell r="CQ5">
            <v>5.8633356779666679E-3</v>
          </cell>
          <cell r="CR5">
            <v>1.2414112493838185E-2</v>
          </cell>
          <cell r="CS5">
            <v>5.2310526315789471E-3</v>
          </cell>
          <cell r="CT5">
            <v>3.3429228700697423E-3</v>
          </cell>
        </row>
        <row r="6">
          <cell r="BY6">
            <v>3.8080825555652016</v>
          </cell>
          <cell r="BZ6">
            <v>3.2825186264527981</v>
          </cell>
          <cell r="CA6">
            <v>3.5038980365087684</v>
          </cell>
          <cell r="CB6">
            <v>4.7149575819937137</v>
          </cell>
          <cell r="CC6">
            <v>4.1126386366365262</v>
          </cell>
          <cell r="CD6">
            <v>3.3912249958123137</v>
          </cell>
          <cell r="CE6">
            <v>3.3654560818884329</v>
          </cell>
          <cell r="CF6">
            <v>3.3379978941733093</v>
          </cell>
          <cell r="CG6">
            <v>2.8985382135044002</v>
          </cell>
          <cell r="CH6">
            <v>2.9841088287180981</v>
          </cell>
          <cell r="CI6">
            <v>3.4044490736105901</v>
          </cell>
          <cell r="CJ6">
            <v>3.6093547941280155</v>
          </cell>
          <cell r="CK6">
            <v>4.5392941815514307</v>
          </cell>
          <cell r="CL6">
            <v>3.8281090505840099</v>
          </cell>
          <cell r="CM6">
            <v>3.2548805234942528</v>
          </cell>
          <cell r="CN6">
            <v>3.8566594720296679</v>
          </cell>
          <cell r="CO6">
            <v>3.4803031200776489</v>
          </cell>
          <cell r="CP6">
            <v>4.0962076520643977</v>
          </cell>
          <cell r="CQ6">
            <v>3.232932346732643</v>
          </cell>
          <cell r="CR6">
            <v>3.596693089530032</v>
          </cell>
          <cell r="CS6">
            <v>4.2093503012214795</v>
          </cell>
          <cell r="CT6">
            <v>4.4793251824575568</v>
          </cell>
        </row>
        <row r="7">
          <cell r="BY7">
            <v>13.191584931311322</v>
          </cell>
          <cell r="BZ7">
            <v>11.370978075614902</v>
          </cell>
          <cell r="CA7">
            <v>12.137858847548031</v>
          </cell>
          <cell r="CB7">
            <v>16.333092175090425</v>
          </cell>
          <cell r="CC7">
            <v>14.246598143650523</v>
          </cell>
          <cell r="CD7">
            <v>11.747547985288961</v>
          </cell>
          <cell r="CE7">
            <v>11.658281848944899</v>
          </cell>
          <cell r="CF7">
            <v>11.563163896532183</v>
          </cell>
          <cell r="CG7">
            <v>10.040830906939094</v>
          </cell>
          <cell r="CH7">
            <v>10.337256213309196</v>
          </cell>
          <cell r="CI7">
            <v>11.793357534548678</v>
          </cell>
          <cell r="CJ7">
            <v>12.503171771944055</v>
          </cell>
          <cell r="CK7">
            <v>15.724576305897722</v>
          </cell>
          <cell r="CL7">
            <v>13.260958745051523</v>
          </cell>
          <cell r="CM7">
            <v>11.275236878516861</v>
          </cell>
          <cell r="CN7">
            <v>13.359860306094291</v>
          </cell>
          <cell r="CO7">
            <v>12.05612365942995</v>
          </cell>
          <cell r="CP7">
            <v>14.18967954345591</v>
          </cell>
          <cell r="CQ7">
            <v>11.19920616394764</v>
          </cell>
          <cell r="CR7">
            <v>12.459310340595783</v>
          </cell>
          <cell r="CS7">
            <v>14.58161717714192</v>
          </cell>
          <cell r="CT7">
            <v>15.516837599278439</v>
          </cell>
        </row>
        <row r="8">
          <cell r="BY8">
            <v>0.38141507458482377</v>
          </cell>
          <cell r="BZ8">
            <v>1.4228046451800929</v>
          </cell>
          <cell r="CA8">
            <v>0.64990342732907891</v>
          </cell>
          <cell r="CB8">
            <v>7.0709824688144751</v>
          </cell>
          <cell r="CC8">
            <v>0.72005964924263699</v>
          </cell>
          <cell r="CD8">
            <v>1.1410658894156451</v>
          </cell>
          <cell r="CE8">
            <v>1.5865990572449178</v>
          </cell>
          <cell r="CF8">
            <v>1.4347501222173649</v>
          </cell>
          <cell r="CG8">
            <v>2.546825984789983</v>
          </cell>
          <cell r="CH8">
            <v>2.943323764253889</v>
          </cell>
          <cell r="CI8">
            <v>2.9298467786920654</v>
          </cell>
          <cell r="CJ8">
            <v>2.6589422137535292</v>
          </cell>
          <cell r="CK8">
            <v>8.0739496027080548</v>
          </cell>
          <cell r="CL8">
            <v>2.3086734107327875</v>
          </cell>
          <cell r="CM8">
            <v>15.103494628597186</v>
          </cell>
          <cell r="CN8">
            <v>1.45630089166971</v>
          </cell>
          <cell r="CO8">
            <v>1.743908091809351</v>
          </cell>
          <cell r="CP8">
            <v>0.54576778018455308</v>
          </cell>
          <cell r="CQ8">
            <v>1.764428029515356</v>
          </cell>
          <cell r="CR8">
            <v>3.9426205918705755</v>
          </cell>
          <cell r="CS8">
            <v>1.053752295712171</v>
          </cell>
          <cell r="CT8">
            <v>0.43073729783090625</v>
          </cell>
        </row>
        <row r="9">
          <cell r="BY9">
            <v>1.3192066988395577</v>
          </cell>
          <cell r="BZ9">
            <v>0.92398448837724234</v>
          </cell>
          <cell r="CA9">
            <v>0.91346144535504648</v>
          </cell>
          <cell r="CB9">
            <v>1.8316228921737514</v>
          </cell>
          <cell r="CC9">
            <v>1.0848746756105776</v>
          </cell>
          <cell r="CD9">
            <v>0.97885203393437403</v>
          </cell>
          <cell r="CE9">
            <v>0.97003271859550932</v>
          </cell>
          <cell r="CF9">
            <v>0.96774303602682832</v>
          </cell>
          <cell r="CG9">
            <v>0.73048449451907715</v>
          </cell>
          <cell r="CH9">
            <v>0.78966344454806714</v>
          </cell>
          <cell r="CI9">
            <v>0.99184236783544755</v>
          </cell>
          <cell r="CJ9">
            <v>1.0667542187457379</v>
          </cell>
          <cell r="CK9">
            <v>1.7688654612155537</v>
          </cell>
          <cell r="CL9">
            <v>1.1048178619398059</v>
          </cell>
          <cell r="CM9">
            <v>1.2432187155337493</v>
          </cell>
          <cell r="CN9">
            <v>0.88207561086778263</v>
          </cell>
          <cell r="CO9">
            <v>0.97284525499314045</v>
          </cell>
          <cell r="CP9">
            <v>1.106447042847142</v>
          </cell>
          <cell r="CQ9">
            <v>0.92984599852854821</v>
          </cell>
          <cell r="CR9">
            <v>0.96210096647224352</v>
          </cell>
          <cell r="CS9">
            <v>1.5325693234822133</v>
          </cell>
          <cell r="CT9">
            <v>1.5683034903767399</v>
          </cell>
        </row>
        <row r="10">
          <cell r="BY10">
            <v>-0.79095785741657454</v>
          </cell>
          <cell r="BZ10">
            <v>-8.3521134203989322E-2</v>
          </cell>
          <cell r="CA10">
            <v>-0.362149178552155</v>
          </cell>
          <cell r="CB10">
            <v>2.6189169004508792</v>
          </cell>
          <cell r="CC10">
            <v>-0.41939729897727729</v>
          </cell>
          <cell r="CD10">
            <v>-0.22421692215495409</v>
          </cell>
          <cell r="CE10">
            <v>-4.0645286801634262E-2</v>
          </cell>
          <cell r="CF10">
            <v>-0.10483633387568841</v>
          </cell>
          <cell r="CG10">
            <v>0.39918260570058428</v>
          </cell>
          <cell r="CH10">
            <v>0.51920967829229736</v>
          </cell>
          <cell r="CI10">
            <v>0.49781126928293862</v>
          </cell>
          <cell r="CJ10">
            <v>0.39161975599205229</v>
          </cell>
          <cell r="CK10">
            <v>3.0672119892704419</v>
          </cell>
          <cell r="CL10">
            <v>0.26957140015572578</v>
          </cell>
          <cell r="CM10">
            <v>4.9957279211331658</v>
          </cell>
          <cell r="CN10">
            <v>6.4076504268641588E-2</v>
          </cell>
          <cell r="CO10">
            <v>4.4632251286163271E-2</v>
          </cell>
          <cell r="CP10">
            <v>-0.52402605221062659</v>
          </cell>
          <cell r="CQ10">
            <v>3.5781141880926071E-2</v>
          </cell>
          <cell r="CR10">
            <v>1.0266946474530501</v>
          </cell>
          <cell r="CS10">
            <v>-0.60642736886764836</v>
          </cell>
          <cell r="CT10">
            <v>-0.93622057966318339</v>
          </cell>
        </row>
        <row r="11">
          <cell r="BY11">
            <v>1.1010102459559421E-2</v>
          </cell>
          <cell r="BZ11">
            <v>5.0546116394330695E-2</v>
          </cell>
          <cell r="CA11">
            <v>2.492929892682633E-2</v>
          </cell>
          <cell r="CB11">
            <v>0.18202099649406869</v>
          </cell>
          <cell r="CC11">
            <v>2.7296656477777407E-2</v>
          </cell>
          <cell r="CD11">
            <v>3.9532135929694338E-2</v>
          </cell>
          <cell r="CE11">
            <v>5.5045869529581473E-2</v>
          </cell>
          <cell r="CF11">
            <v>4.9488270215707272E-2</v>
          </cell>
          <cell r="CG11">
            <v>0.10105720922823713</v>
          </cell>
          <cell r="CH11">
            <v>0.11122711189591072</v>
          </cell>
          <cell r="CI11">
            <v>0.10056551801983522</v>
          </cell>
          <cell r="CJ11">
            <v>8.9965107780915474E-2</v>
          </cell>
          <cell r="CK11">
            <v>0.20719513867677919</v>
          </cell>
          <cell r="CL11">
            <v>7.9993760808243997E-2</v>
          </cell>
          <cell r="CM11">
            <v>0.39542575967588472</v>
          </cell>
          <cell r="CN11">
            <v>6.3673188089372404E-2</v>
          </cell>
          <cell r="CO11">
            <v>6.2387401715759384E-2</v>
          </cell>
          <cell r="CP11">
            <v>2.0205017238687822E-2</v>
          </cell>
          <cell r="CQ11">
            <v>6.1346464458940188E-2</v>
          </cell>
          <cell r="CR11">
            <v>0.14738989702312918</v>
          </cell>
          <cell r="CS11">
            <v>2.8942328907448807E-2</v>
          </cell>
          <cell r="CT11">
            <v>1.2302544992322967E-2</v>
          </cell>
        </row>
        <row r="12">
          <cell r="BY12">
            <v>-4.5944645910090821E-2</v>
          </cell>
          <cell r="BZ12">
            <v>-1.0808415382270349E-2</v>
          </cell>
          <cell r="CA12">
            <v>-3.6885914266883993E-2</v>
          </cell>
          <cell r="CB12">
            <v>0.17975972902491991</v>
          </cell>
          <cell r="CC12">
            <v>-3.4518860422944816E-2</v>
          </cell>
          <cell r="CD12">
            <v>-2.0314212396832752E-2</v>
          </cell>
          <cell r="CE12">
            <v>-5.2820318040395428E-3</v>
          </cell>
          <cell r="CF12">
            <v>-1.0405377895821855E-2</v>
          </cell>
          <cell r="CG12">
            <v>2.711579091081516E-2</v>
          </cell>
          <cell r="CH12">
            <v>4.0493529440546502E-2</v>
          </cell>
          <cell r="CI12">
            <v>4.0038819229410383E-2</v>
          </cell>
          <cell r="CJ12">
            <v>3.0898565175129428E-2</v>
          </cell>
          <cell r="CK12">
            <v>0.2135995958944992</v>
          </cell>
          <cell r="CL12">
            <v>1.9080581053581458E-2</v>
          </cell>
          <cell r="CM12">
            <v>0.4507747333352855</v>
          </cell>
          <cell r="CN12">
            <v>-9.6782601822301209E-3</v>
          </cell>
          <cell r="CO12">
            <v>2.5536716552962413E-5</v>
          </cell>
          <cell r="CP12">
            <v>-4.039942564393989E-2</v>
          </cell>
          <cell r="CQ12">
            <v>7.1787441803636276E-4</v>
          </cell>
          <cell r="CR12">
            <v>7.4209561070083085E-2</v>
          </cell>
          <cell r="CS12">
            <v>-2.3260151787049703E-2</v>
          </cell>
          <cell r="CT12">
            <v>-4.4280526107999485E-2</v>
          </cell>
        </row>
        <row r="13">
          <cell r="BY13">
            <v>5.3874543545301612E-3</v>
          </cell>
          <cell r="BZ13">
            <v>1.8985024103635832E-2</v>
          </cell>
          <cell r="CA13">
            <v>1.0489299594455466E-2</v>
          </cell>
          <cell r="CC13">
            <v>1.2732116574121773E-2</v>
          </cell>
          <cell r="CD13">
            <v>1.6765979786043425E-2</v>
          </cell>
          <cell r="CE13">
            <v>2.0055804222899525E-2</v>
          </cell>
          <cell r="CF13">
            <v>1.916073905903638E-2</v>
          </cell>
          <cell r="CG13">
            <v>2.8837812273920797E-2</v>
          </cell>
          <cell r="CH13">
            <v>3.5706930813716474E-2</v>
          </cell>
          <cell r="CI13">
            <v>4.0380290809491369E-2</v>
          </cell>
          <cell r="CJ13">
            <v>3.64298969774106E-2</v>
          </cell>
          <cell r="CL13">
            <v>3.2370860189565552E-2</v>
          </cell>
          <cell r="CN13">
            <v>2.5771937931592191E-2</v>
          </cell>
          <cell r="CO13">
            <v>2.3728868031202187E-2</v>
          </cell>
          <cell r="CP13">
            <v>8.0727639641110724E-3</v>
          </cell>
          <cell r="CQ13">
            <v>2.3952442554382416E-2</v>
          </cell>
          <cell r="CR13">
            <v>5.7524404231244129E-2</v>
          </cell>
          <cell r="CS13">
            <v>1.7838969461447668E-2</v>
          </cell>
          <cell r="CT13">
            <v>5.9660809096048588E-3</v>
          </cell>
        </row>
        <row r="14">
          <cell r="BY14">
            <v>-0.3690030717987165</v>
          </cell>
          <cell r="BZ14">
            <v>-0.42533723575561772</v>
          </cell>
          <cell r="CA14">
            <v>-0.24063738555956338</v>
          </cell>
          <cell r="CB14">
            <v>-0.81425147479496929</v>
          </cell>
          <cell r="CC14">
            <v>-0.12446501280473073</v>
          </cell>
          <cell r="CD14">
            <v>-0.27137772959843282</v>
          </cell>
          <cell r="CE14">
            <v>-0.42176825289224812</v>
          </cell>
          <cell r="CF14">
            <v>-0.42406925191765071</v>
          </cell>
          <cell r="CG14">
            <v>-1.3286324308807498</v>
          </cell>
          <cell r="CH14">
            <v>-0.96647104877923473</v>
          </cell>
          <cell r="CI14">
            <v>-0.40572663067544007</v>
          </cell>
          <cell r="CJ14">
            <v>-0.41157988943932761</v>
          </cell>
          <cell r="CK14">
            <v>-0.86560713799703282</v>
          </cell>
          <cell r="CL14">
            <v>-0.29231158273299379</v>
          </cell>
          <cell r="CM14">
            <v>-0.72287479651364672</v>
          </cell>
          <cell r="CN14">
            <v>-0.17049676875355002</v>
          </cell>
          <cell r="CO14">
            <v>-0.53398399005187924</v>
          </cell>
          <cell r="CP14">
            <v>-0.20064874004316471</v>
          </cell>
          <cell r="CQ14">
            <v>-0.43015356483254535</v>
          </cell>
          <cell r="CR14">
            <v>-0.34771465070331825</v>
          </cell>
          <cell r="CS14">
            <v>-0.49954963336229746</v>
          </cell>
          <cell r="CT14">
            <v>-0.62860869188536994</v>
          </cell>
        </row>
        <row r="15">
          <cell r="BY15">
            <v>-8.2899999999999991</v>
          </cell>
          <cell r="BZ15">
            <v>-8.0919668266055638</v>
          </cell>
          <cell r="CA15">
            <v>-7.5090954674839168</v>
          </cell>
          <cell r="CB15">
            <v>-6.44</v>
          </cell>
          <cell r="CC15">
            <v>-9.27</v>
          </cell>
          <cell r="CD15">
            <v>-7.63</v>
          </cell>
          <cell r="CE15">
            <v>-8.2251155602070209</v>
          </cell>
          <cell r="CF15">
            <v>-8.4694558415012189</v>
          </cell>
          <cell r="CG15">
            <v>-10.908963593492622</v>
          </cell>
          <cell r="CH15">
            <v>-9.7587170281152709</v>
          </cell>
          <cell r="CI15">
            <v>-7.5370999999999997</v>
          </cell>
          <cell r="CJ15">
            <v>-7.5513000000000003</v>
          </cell>
          <cell r="CK15">
            <v>-6.03</v>
          </cell>
          <cell r="CL15">
            <v>-9.2544656556370199</v>
          </cell>
          <cell r="CM15">
            <v>-2.5099999999999998</v>
          </cell>
          <cell r="CN15">
            <v>-7.4394</v>
          </cell>
          <cell r="CO15">
            <v>-8.0556000000000001</v>
          </cell>
          <cell r="CP15">
            <v>-10.053433872427901</v>
          </cell>
          <cell r="CQ15">
            <v>-7.5137585990000009</v>
          </cell>
          <cell r="CR15">
            <v>-9.0808815155145002</v>
          </cell>
          <cell r="CS15">
            <v>-8.5129999999999999</v>
          </cell>
          <cell r="CT15">
            <v>-8.4558606147766113</v>
          </cell>
        </row>
        <row r="16">
          <cell r="BY16">
            <v>7.13</v>
          </cell>
          <cell r="BZ16">
            <v>8.7966741107309208</v>
          </cell>
          <cell r="CA16">
            <v>7.1560682317624247</v>
          </cell>
          <cell r="CB16">
            <v>7.63</v>
          </cell>
          <cell r="CC16">
            <v>9.7200000000000006</v>
          </cell>
          <cell r="CD16">
            <v>7.97</v>
          </cell>
          <cell r="CE16">
            <v>8.9443704332136402</v>
          </cell>
          <cell r="CF16">
            <v>8.3803511272591411</v>
          </cell>
          <cell r="CG16">
            <v>4.952962990124159</v>
          </cell>
          <cell r="CH16">
            <v>6.3104205160452231</v>
          </cell>
          <cell r="CI16">
            <v>8.7512000000000008</v>
          </cell>
          <cell r="CJ16">
            <v>8.2220499999999994</v>
          </cell>
          <cell r="CK16">
            <v>7.99</v>
          </cell>
          <cell r="CL16">
            <v>9.90465380220407</v>
          </cell>
          <cell r="CM16">
            <v>7.07</v>
          </cell>
          <cell r="CN16">
            <v>8.2576000000000001</v>
          </cell>
          <cell r="CO16">
            <v>7.2920999999999996</v>
          </cell>
          <cell r="CP16">
            <v>10.2560832321386</v>
          </cell>
          <cell r="CQ16">
            <v>7.8102134350999997</v>
          </cell>
          <cell r="CR16">
            <v>9.2541806896938006</v>
          </cell>
          <cell r="CS16">
            <v>7.2298999999999998</v>
          </cell>
          <cell r="CT16">
            <v>7.9776786267757416</v>
          </cell>
        </row>
        <row r="17">
          <cell r="BY17">
            <v>0.96472284499666583</v>
          </cell>
          <cell r="BZ17">
            <v>0.94972840036108408</v>
          </cell>
          <cell r="CA17">
            <v>0.87959085602054377</v>
          </cell>
          <cell r="CB17">
            <v>0.9964245395300847</v>
          </cell>
          <cell r="CC17">
            <v>0.89002245556180049</v>
          </cell>
          <cell r="CD17">
            <v>0.9738731375799996</v>
          </cell>
          <cell r="CE17">
            <v>0.97248833206487961</v>
          </cell>
          <cell r="CF17">
            <v>0.97817360645466445</v>
          </cell>
          <cell r="CG17">
            <v>0.84518544476491153</v>
          </cell>
          <cell r="CH17">
            <v>0.89283112181680913</v>
          </cell>
          <cell r="CI17">
            <v>0.99593708590797658</v>
          </cell>
          <cell r="CJ17">
            <v>0.97449193966800873</v>
          </cell>
          <cell r="CK17">
            <v>0.99952259111576336</v>
          </cell>
          <cell r="CL17">
            <v>0.97375192660621934</v>
          </cell>
          <cell r="CM17">
            <v>0.97971245576995036</v>
          </cell>
          <cell r="CN17">
            <v>0.74772047827743304</v>
          </cell>
          <cell r="CO17">
            <v>0.94312365555068645</v>
          </cell>
          <cell r="CP17">
            <v>0.91136136081709063</v>
          </cell>
          <cell r="CQ17">
            <v>0.97041243685370815</v>
          </cell>
          <cell r="CR17">
            <v>0.90252494510618708</v>
          </cell>
          <cell r="CS17">
            <v>0.99139187273331886</v>
          </cell>
          <cell r="CT17">
            <v>0.92961530409230264</v>
          </cell>
        </row>
        <row r="19">
          <cell r="BY19">
            <v>3.7574310523015582</v>
          </cell>
          <cell r="BZ19">
            <v>3.669159334930348</v>
          </cell>
          <cell r="CA19">
            <v>5.8622688559154161</v>
          </cell>
          <cell r="CB19">
            <v>1.6478453659248498</v>
          </cell>
          <cell r="CC19">
            <v>6.5705773260168439</v>
          </cell>
          <cell r="CD19">
            <v>2.67920880681219</v>
          </cell>
          <cell r="CE19">
            <v>2.7383076647284077</v>
          </cell>
          <cell r="CF19">
            <v>2.4321008540605638</v>
          </cell>
          <cell r="CG19">
            <v>6.2520558139532412</v>
          </cell>
          <cell r="CH19">
            <v>5.2649959839269709</v>
          </cell>
          <cell r="CI19">
            <v>1.082554573331123</v>
          </cell>
          <cell r="CJ19">
            <v>2.81493915234556</v>
          </cell>
          <cell r="CK19">
            <v>0.5947220779490201</v>
          </cell>
          <cell r="CL19">
            <v>3.2574982688126184</v>
          </cell>
          <cell r="CM19">
            <v>4.8819898624092479</v>
          </cell>
          <cell r="CN19">
            <v>9.1100842168368636</v>
          </cell>
          <cell r="CO19">
            <v>4.0205099683953867</v>
          </cell>
          <cell r="CP19">
            <v>5.9716134052566066</v>
          </cell>
          <cell r="CQ19">
            <v>2.8256660689887139</v>
          </cell>
          <cell r="CR19">
            <v>5.3837007777236918</v>
          </cell>
          <cell r="CS19">
            <v>1.9093210202419992</v>
          </cell>
          <cell r="CT19">
            <v>5.7343946387386966</v>
          </cell>
        </row>
        <row r="21">
          <cell r="BY21">
            <v>2.3454850919560677E-2</v>
          </cell>
          <cell r="BZ21">
            <v>5.5634077496072187E-2</v>
          </cell>
          <cell r="CA21">
            <v>3.1702203429386788E-2</v>
          </cell>
          <cell r="CB21">
            <v>0.34232407403481435</v>
          </cell>
          <cell r="CC21">
            <v>3.8543701341582137E-2</v>
          </cell>
          <cell r="CD21">
            <v>4.7626361660551453E-2</v>
          </cell>
          <cell r="CE21">
            <v>6.2326544467233624E-2</v>
          </cell>
          <cell r="CF21">
            <v>5.6822178866264617E-2</v>
          </cell>
          <cell r="CG21">
            <v>8.2750974400597421E-2</v>
          </cell>
          <cell r="CH21">
            <v>9.6762234306858153E-2</v>
          </cell>
          <cell r="CI21">
            <v>0.10867539151539174</v>
          </cell>
          <cell r="CJ21">
            <v>0.10490090826520659</v>
          </cell>
          <cell r="CK21">
            <v>0.37543057453712159</v>
          </cell>
          <cell r="CL21">
            <v>9.7308785784688379E-2</v>
          </cell>
          <cell r="CM21">
            <v>0.50053095503321043</v>
          </cell>
          <cell r="CN21">
            <v>6.5094816279832379E-2</v>
          </cell>
          <cell r="CO21">
            <v>6.9623537730527429E-2</v>
          </cell>
          <cell r="CP21">
            <v>3.1286031574421669E-2</v>
          </cell>
          <cell r="CQ21">
            <v>6.5973014501019334E-2</v>
          </cell>
          <cell r="CR21">
            <v>0.15073421237419704</v>
          </cell>
          <cell r="CS21">
            <v>5.3286375433688526E-2</v>
          </cell>
          <cell r="CT21">
            <v>2.8224374251976991E-2</v>
          </cell>
        </row>
        <row r="22">
          <cell r="BY22">
            <v>-4.4288896730362515E-2</v>
          </cell>
          <cell r="BZ22">
            <v>-1.2109670153851004E-2</v>
          </cell>
          <cell r="CA22">
            <v>-3.6041544220536403E-2</v>
          </cell>
          <cell r="CB22">
            <v>0.27458032638489116</v>
          </cell>
          <cell r="CC22">
            <v>-2.9200046308341054E-2</v>
          </cell>
          <cell r="CD22">
            <v>-2.0117385989371739E-2</v>
          </cell>
          <cell r="CE22">
            <v>-5.4172031826895672E-3</v>
          </cell>
          <cell r="CF22">
            <v>-1.0921568783658575E-2</v>
          </cell>
          <cell r="CG22">
            <v>1.500722675067423E-2</v>
          </cell>
          <cell r="CH22">
            <v>2.9018486656934961E-2</v>
          </cell>
          <cell r="CI22">
            <v>4.0931643865468548E-2</v>
          </cell>
          <cell r="CJ22">
            <v>3.7157160615283402E-2</v>
          </cell>
          <cell r="CK22">
            <v>0.30768682688719839</v>
          </cell>
          <cell r="CL22">
            <v>2.9565038134765187E-2</v>
          </cell>
          <cell r="CM22">
            <v>0.43278720738328724</v>
          </cell>
          <cell r="CN22">
            <v>-2.6489313700908124E-3</v>
          </cell>
          <cell r="CO22">
            <v>1.8797900806042378E-3</v>
          </cell>
          <cell r="CP22">
            <v>-3.6457716075501523E-2</v>
          </cell>
          <cell r="CQ22">
            <v>-1.770733148903858E-3</v>
          </cell>
          <cell r="CR22">
            <v>8.2990464724273849E-2</v>
          </cell>
          <cell r="CS22">
            <v>-1.4457372216234665E-2</v>
          </cell>
          <cell r="CT22">
            <v>-3.95193733979462E-2</v>
          </cell>
        </row>
        <row r="23">
          <cell r="BY23">
            <v>1.4524600919560678E-2</v>
          </cell>
          <cell r="BZ23">
            <v>4.6703827496072187E-2</v>
          </cell>
          <cell r="CA23">
            <v>2.2771953429386788E-2</v>
          </cell>
          <cell r="CB23">
            <v>0.33339382403481438</v>
          </cell>
          <cell r="CC23">
            <v>2.9613451341582137E-2</v>
          </cell>
          <cell r="CD23">
            <v>3.8696111660551452E-2</v>
          </cell>
          <cell r="CE23">
            <v>5.3396294467233624E-2</v>
          </cell>
          <cell r="CF23">
            <v>4.7891928866264616E-2</v>
          </cell>
          <cell r="CG23">
            <v>7.3820724400597421E-2</v>
          </cell>
          <cell r="CH23">
            <v>8.7831984306858152E-2</v>
          </cell>
          <cell r="CI23">
            <v>9.9745141515391739E-2</v>
          </cell>
          <cell r="CJ23">
            <v>9.5970658265206593E-2</v>
          </cell>
          <cell r="CK23">
            <v>0.36650032453712161</v>
          </cell>
          <cell r="CL23">
            <v>8.8378535784688378E-2</v>
          </cell>
          <cell r="CM23">
            <v>0.49160070503321046</v>
          </cell>
          <cell r="CN23">
            <v>5.6164566279832379E-2</v>
          </cell>
          <cell r="CO23">
            <v>6.0693287730527429E-2</v>
          </cell>
          <cell r="CP23">
            <v>2.2355781574421668E-2</v>
          </cell>
          <cell r="CQ23">
            <v>5.7042764501019333E-2</v>
          </cell>
          <cell r="CR23">
            <v>0.14180396237419704</v>
          </cell>
          <cell r="CS23">
            <v>4.4356125433688526E-2</v>
          </cell>
          <cell r="CT23">
            <v>1.9294124251976991E-2</v>
          </cell>
        </row>
        <row r="24">
          <cell r="BY24">
            <v>-1.1787015147818618</v>
          </cell>
          <cell r="BZ24">
            <v>-0.33003936456416888</v>
          </cell>
          <cell r="CA24">
            <v>-0.61480537836759408</v>
          </cell>
          <cell r="CB24">
            <v>16.662991082951738</v>
          </cell>
          <cell r="CC24">
            <v>-0.44440609796525204</v>
          </cell>
          <cell r="CD24">
            <v>-0.75087040391256621</v>
          </cell>
          <cell r="CE24">
            <v>-0.19783033340144632</v>
          </cell>
          <cell r="CF24">
            <v>-0.44905904150414838</v>
          </cell>
          <cell r="CG24">
            <v>0.24003667269222603</v>
          </cell>
          <cell r="CH24">
            <v>0.55115876147907561</v>
          </cell>
          <cell r="CI24">
            <v>3.7810235967613162</v>
          </cell>
          <cell r="CJ24">
            <v>1.3199987141577125</v>
          </cell>
          <cell r="CK24">
            <v>51.736237529351229</v>
          </cell>
          <cell r="CL24">
            <v>0.90759950412934076</v>
          </cell>
          <cell r="CM24">
            <v>8.8649755444127045</v>
          </cell>
          <cell r="CN24">
            <v>-2.9076914186975045E-2</v>
          </cell>
          <cell r="CO24">
            <v>4.6755016039780523E-2</v>
          </cell>
          <cell r="CP24">
            <v>-0.61051701778633305</v>
          </cell>
          <cell r="CQ24">
            <v>-6.2666044241299582E-2</v>
          </cell>
          <cell r="CR24">
            <v>1.5415133223537629</v>
          </cell>
          <cell r="CS24">
            <v>-0.75719965699650904</v>
          </cell>
          <cell r="CT24">
            <v>-0.6891638243899908</v>
          </cell>
        </row>
      </sheetData>
      <sheetData sheetId="4">
        <row r="2">
          <cell r="BY2" t="str">
            <v>Aberdeen</v>
          </cell>
          <cell r="BZ2" t="str">
            <v>Acadian</v>
          </cell>
          <cell r="CA2" t="str">
            <v>Amundi</v>
          </cell>
          <cell r="CB2" t="str">
            <v>Amundi-CPR</v>
          </cell>
          <cell r="CC2" t="str">
            <v>Amundi - KBIGI Water</v>
          </cell>
          <cell r="CD2" t="str">
            <v>Amundi - KBIGI Developed Equity</v>
          </cell>
          <cell r="CE2" t="str">
            <v>AQR (Equity)</v>
          </cell>
          <cell r="CF2" t="str">
            <v>AQR (Enhanced)</v>
          </cell>
          <cell r="CG2" t="str">
            <v>Arabesque (Systematic)</v>
          </cell>
          <cell r="CH2" t="str">
            <v>Arabesque (Sustainable Global Equity)</v>
          </cell>
          <cell r="CI2" t="str">
            <v>BlackRock (Alpha Tilts)</v>
          </cell>
          <cell r="CJ2" t="str">
            <v>BlackRock (BSF)</v>
          </cell>
          <cell r="CK2" t="str">
            <v>Calvert</v>
          </cell>
          <cell r="CL2" t="str">
            <v>Columbia (Equity)</v>
          </cell>
          <cell r="CM2" t="str">
            <v>Columbia (Sustainable)</v>
          </cell>
          <cell r="CN2" t="str">
            <v>GSAM (EME)</v>
          </cell>
          <cell r="CO2" t="str">
            <v>GSAM (GEP)</v>
          </cell>
          <cell r="CP2" t="str">
            <v>Jupiter</v>
          </cell>
          <cell r="CQ2" t="str">
            <v>Neuberger</v>
          </cell>
          <cell r="CR2" t="str">
            <v>Ownership</v>
          </cell>
          <cell r="CS2" t="str">
            <v>PanAgora</v>
          </cell>
          <cell r="CT2" t="str">
            <v>Robeco</v>
          </cell>
        </row>
        <row r="4">
          <cell r="BY4">
            <v>20</v>
          </cell>
          <cell r="BZ4">
            <v>83</v>
          </cell>
          <cell r="CA4">
            <v>84</v>
          </cell>
          <cell r="CB4">
            <v>6</v>
          </cell>
          <cell r="CC4">
            <v>84</v>
          </cell>
          <cell r="CD4">
            <v>84</v>
          </cell>
          <cell r="CE4">
            <v>84</v>
          </cell>
          <cell r="CF4">
            <v>84</v>
          </cell>
          <cell r="CG4">
            <v>59</v>
          </cell>
          <cell r="CH4">
            <v>84</v>
          </cell>
          <cell r="CI4">
            <v>43</v>
          </cell>
          <cell r="CJ4">
            <v>46</v>
          </cell>
          <cell r="CK4">
            <v>6</v>
          </cell>
          <cell r="CL4">
            <v>84</v>
          </cell>
          <cell r="CM4">
            <v>6</v>
          </cell>
          <cell r="CN4">
            <v>54</v>
          </cell>
          <cell r="CO4">
            <v>84</v>
          </cell>
          <cell r="CP4">
            <v>84</v>
          </cell>
          <cell r="CQ4">
            <v>65</v>
          </cell>
          <cell r="CR4">
            <v>84</v>
          </cell>
          <cell r="CS4">
            <v>19</v>
          </cell>
          <cell r="CT4">
            <v>15</v>
          </cell>
        </row>
        <row r="5">
          <cell r="BY5">
            <v>2.664999999999999E-3</v>
          </cell>
          <cell r="BZ5">
            <v>8.8339213166643109E-3</v>
          </cell>
          <cell r="CA5">
            <v>8.5169022544343605E-3</v>
          </cell>
          <cell r="CB5">
            <v>2.5950000000000001E-2</v>
          </cell>
          <cell r="CC5">
            <v>9.0666666666666656E-3</v>
          </cell>
          <cell r="CD5">
            <v>8.3119047619047634E-3</v>
          </cell>
          <cell r="CE5">
            <v>9.4674911430433478E-3</v>
          </cell>
          <cell r="CF5">
            <v>8.9211061283268559E-3</v>
          </cell>
          <cell r="CG5">
            <v>7.0761633486867755E-3</v>
          </cell>
          <cell r="CH5">
            <v>1.0467752275068132E-2</v>
          </cell>
          <cell r="CI5">
            <v>9.2147674418604671E-3</v>
          </cell>
          <cell r="CJ5">
            <v>9.0007086956521726E-3</v>
          </cell>
          <cell r="CK5">
            <v>2.7949999999999999E-2</v>
          </cell>
          <cell r="CL5">
            <v>1.0864286074362337E-2</v>
          </cell>
          <cell r="CM5">
            <v>3.4916666666666665E-2</v>
          </cell>
          <cell r="CN5">
            <v>6.0127037037037041E-3</v>
          </cell>
          <cell r="CO5">
            <v>9.9192619047619064E-3</v>
          </cell>
          <cell r="CP5">
            <v>7.7520168597544729E-3</v>
          </cell>
          <cell r="CQ5">
            <v>7.1481789305846179E-3</v>
          </cell>
          <cell r="CR5">
            <v>1.1764139751953959E-2</v>
          </cell>
          <cell r="CS5">
            <v>5.2310526315789471E-3</v>
          </cell>
          <cell r="CT5">
            <v>3.3429228700697423E-3</v>
          </cell>
        </row>
        <row r="6">
          <cell r="BY6">
            <v>3.8080825555652016</v>
          </cell>
          <cell r="BZ6">
            <v>3.1477226321942311</v>
          </cell>
          <cell r="CA6">
            <v>3.5074731920412856</v>
          </cell>
          <cell r="CB6">
            <v>4.7149575819937137</v>
          </cell>
          <cell r="CC6">
            <v>3.8996056984231866</v>
          </cell>
          <cell r="CD6">
            <v>3.2102259988541024</v>
          </cell>
          <cell r="CE6">
            <v>3.1965800234706592</v>
          </cell>
          <cell r="CF6">
            <v>3.1435346384205851</v>
          </cell>
          <cell r="CG6">
            <v>2.8985382135044002</v>
          </cell>
          <cell r="CH6">
            <v>2.8603991661902364</v>
          </cell>
          <cell r="CI6">
            <v>3.4044490736105901</v>
          </cell>
          <cell r="CJ6">
            <v>3.6093547941280155</v>
          </cell>
          <cell r="CK6">
            <v>4.5392941815514307</v>
          </cell>
          <cell r="CL6">
            <v>3.5116590241497887</v>
          </cell>
          <cell r="CM6">
            <v>3.2548805234942528</v>
          </cell>
          <cell r="CN6">
            <v>3.8566594720296679</v>
          </cell>
          <cell r="CO6">
            <v>3.3125138444317717</v>
          </cell>
          <cell r="CP6">
            <v>3.7460333018649905</v>
          </cell>
          <cell r="CQ6">
            <v>3.1631650192962413</v>
          </cell>
          <cell r="CR6">
            <v>3.9875902819346707</v>
          </cell>
          <cell r="CS6">
            <v>4.2093503012214795</v>
          </cell>
          <cell r="CT6">
            <v>4.4793251824575568</v>
          </cell>
        </row>
        <row r="7">
          <cell r="BY7">
            <v>13.191584931311322</v>
          </cell>
          <cell r="BZ7">
            <v>10.9040310541897</v>
          </cell>
          <cell r="CA7">
            <v>12.150243549602592</v>
          </cell>
          <cell r="CB7">
            <v>16.333092175090425</v>
          </cell>
          <cell r="CC7">
            <v>13.508630398308151</v>
          </cell>
          <cell r="CD7">
            <v>11.120549067587707</v>
          </cell>
          <cell r="CE7">
            <v>11.073278022221791</v>
          </cell>
          <cell r="CF7">
            <v>10.889523418194226</v>
          </cell>
          <cell r="CG7">
            <v>10.040830906939094</v>
          </cell>
          <cell r="CH7">
            <v>9.9087133715382834</v>
          </cell>
          <cell r="CI7">
            <v>11.793357534548678</v>
          </cell>
          <cell r="CJ7">
            <v>12.503171771944055</v>
          </cell>
          <cell r="CK7">
            <v>15.724576305897722</v>
          </cell>
          <cell r="CL7">
            <v>12.164743697370353</v>
          </cell>
          <cell r="CM7">
            <v>11.275236878516861</v>
          </cell>
          <cell r="CN7">
            <v>13.359860306094291</v>
          </cell>
          <cell r="CO7">
            <v>11.474884558662271</v>
          </cell>
          <cell r="CP7">
            <v>12.976640011350328</v>
          </cell>
          <cell r="CQ7">
            <v>10.957525052291356</v>
          </cell>
          <cell r="CR7">
            <v>13.813417936157506</v>
          </cell>
          <cell r="CS7">
            <v>14.58161717714192</v>
          </cell>
          <cell r="CT7">
            <v>15.516837599278439</v>
          </cell>
        </row>
        <row r="8">
          <cell r="BY8">
            <v>0.44461304672079704</v>
          </cell>
          <cell r="BZ8">
            <v>1.0607953352305386</v>
          </cell>
          <cell r="CA8">
            <v>0.45672841058279112</v>
          </cell>
          <cell r="CB8">
            <v>7.1220249418490535</v>
          </cell>
          <cell r="CC8">
            <v>0.5348862060944658</v>
          </cell>
          <cell r="CD8">
            <v>0.84942163585117958</v>
          </cell>
          <cell r="CE8">
            <v>1.1765442815199736</v>
          </cell>
          <cell r="CF8">
            <v>1.0733763816489348</v>
          </cell>
          <cell r="CG8">
            <v>2.6298551110291464</v>
          </cell>
          <cell r="CH8">
            <v>2.1561473645607343</v>
          </cell>
          <cell r="CI8">
            <v>3.0005375395272278</v>
          </cell>
          <cell r="CJ8">
            <v>2.725619808217123</v>
          </cell>
          <cell r="CK8">
            <v>8.1269673375392095</v>
          </cell>
          <cell r="CL8">
            <v>1.767102677106996</v>
          </cell>
          <cell r="CM8">
            <v>15.177433777361927</v>
          </cell>
          <cell r="CN8">
            <v>1.5187028478142695</v>
          </cell>
          <cell r="CO8">
            <v>1.2898675325250921</v>
          </cell>
          <cell r="CP8">
            <v>0.41977691291756913</v>
          </cell>
          <cell r="CQ8">
            <v>1.7142185899735576</v>
          </cell>
          <cell r="CR8">
            <v>2.4817808679657842</v>
          </cell>
          <cell r="CS8">
            <v>1.1109257495746969</v>
          </cell>
          <cell r="CT8">
            <v>0.48446483165243093</v>
          </cell>
        </row>
        <row r="9">
          <cell r="BY9">
            <v>1.5171294696111479</v>
          </cell>
          <cell r="BZ9">
            <v>0.95128807809694915</v>
          </cell>
          <cell r="CA9">
            <v>0.96031542384796464</v>
          </cell>
          <cell r="CB9">
            <v>2.1064243149883821</v>
          </cell>
          <cell r="CC9">
            <v>1.096078214386534</v>
          </cell>
          <cell r="CD9">
            <v>0.99267106158335405</v>
          </cell>
          <cell r="CE9">
            <v>0.98553076955250218</v>
          </cell>
          <cell r="CF9">
            <v>0.97591371139186056</v>
          </cell>
          <cell r="CG9">
            <v>0.84008029575938303</v>
          </cell>
          <cell r="CH9">
            <v>0.81616802973347635</v>
          </cell>
          <cell r="CI9">
            <v>1.140650124636053</v>
          </cell>
          <cell r="CJ9">
            <v>1.2268011248842261</v>
          </cell>
          <cell r="CK9">
            <v>2.0342512824927761</v>
          </cell>
          <cell r="CL9">
            <v>1.0812229364563894</v>
          </cell>
          <cell r="CM9">
            <v>1.4297408830378904</v>
          </cell>
          <cell r="CN9">
            <v>1.0144148789192311</v>
          </cell>
          <cell r="CO9">
            <v>0.99476621343928129</v>
          </cell>
          <cell r="CP9">
            <v>1.0774278963415895</v>
          </cell>
          <cell r="CQ9">
            <v>1.0211734950629452</v>
          </cell>
          <cell r="CR9">
            <v>0.74383068221011084</v>
          </cell>
          <cell r="CS9">
            <v>1.7625032429885092</v>
          </cell>
          <cell r="CT9">
            <v>1.8035986662571888</v>
          </cell>
        </row>
        <row r="10">
          <cell r="BY10">
            <v>-0.59119215505047062</v>
          </cell>
          <cell r="BZ10">
            <v>-6.8205165159474362E-2</v>
          </cell>
          <cell r="CA10">
            <v>-0.28185289897120314</v>
          </cell>
          <cell r="CB10">
            <v>2.8962771002185006</v>
          </cell>
          <cell r="CC10">
            <v>-0.30187751500401411</v>
          </cell>
          <cell r="CD10">
            <v>-0.16547907678797663</v>
          </cell>
          <cell r="CE10">
            <v>-3.7282089284298908E-2</v>
          </cell>
          <cell r="CF10">
            <v>-7.8157026659534529E-2</v>
          </cell>
          <cell r="CG10">
            <v>0.50979889368905162</v>
          </cell>
          <cell r="CH10">
            <v>0.34891798024414022</v>
          </cell>
          <cell r="CI10">
            <v>0.64800462974828377</v>
          </cell>
          <cell r="CJ10">
            <v>0.55315691764170227</v>
          </cell>
          <cell r="CK10">
            <v>3.3350689153773958</v>
          </cell>
          <cell r="CL10">
            <v>0.20102122817898008</v>
          </cell>
          <cell r="CM10">
            <v>5.1839868650285759</v>
          </cell>
          <cell r="CN10">
            <v>0.19764803183897206</v>
          </cell>
          <cell r="CO10">
            <v>1.8820032072518117E-2</v>
          </cell>
          <cell r="CP10">
            <v>-0.35275152311498281</v>
          </cell>
          <cell r="CQ10">
            <v>0.14158887371306719</v>
          </cell>
          <cell r="CR10">
            <v>0.83799228077430099</v>
          </cell>
          <cell r="CS10">
            <v>-0.37435245020669977</v>
          </cell>
          <cell r="CT10">
            <v>-0.69873448400136584</v>
          </cell>
        </row>
        <row r="11">
          <cell r="BY11">
            <v>1.1160044156469545E-2</v>
          </cell>
          <cell r="BZ11">
            <v>3.5100718296723302E-2</v>
          </cell>
          <cell r="CA11">
            <v>1.6681629976781305E-2</v>
          </cell>
          <cell r="CB11">
            <v>0.15941728957351473</v>
          </cell>
          <cell r="CC11">
            <v>1.9030077141542024E-2</v>
          </cell>
          <cell r="CD11">
            <v>2.7469677770692903E-2</v>
          </cell>
          <cell r="CE11">
            <v>3.8161344761900223E-2</v>
          </cell>
          <cell r="CF11">
            <v>3.4574735413478906E-2</v>
          </cell>
          <cell r="CG11">
            <v>9.0738177931043301E-2</v>
          </cell>
          <cell r="CH11">
            <v>7.5565838149612499E-2</v>
          </cell>
          <cell r="CI11">
            <v>8.9555745676498516E-2</v>
          </cell>
          <cell r="CJ11">
            <v>8.0190087229396259E-2</v>
          </cell>
          <cell r="CK11">
            <v>0.18134778071145818</v>
          </cell>
          <cell r="CL11">
            <v>5.7392993187879222E-2</v>
          </cell>
          <cell r="CM11">
            <v>0.34552228438479882</v>
          </cell>
          <cell r="CN11">
            <v>5.7738898008491107E-2</v>
          </cell>
          <cell r="CO11">
            <v>4.2951841359791167E-2</v>
          </cell>
          <cell r="CP11">
            <v>1.4594928351889885E-2</v>
          </cell>
          <cell r="CQ11">
            <v>5.309926575109012E-2</v>
          </cell>
          <cell r="CR11">
            <v>0.13304540277348126</v>
          </cell>
          <cell r="CS11">
            <v>2.6532011542162226E-2</v>
          </cell>
          <cell r="CT11">
            <v>1.2031920188425927E-2</v>
          </cell>
        </row>
        <row r="12">
          <cell r="BY12">
            <v>-2.7421137866936472E-2</v>
          </cell>
          <cell r="BZ12">
            <v>-8.0347786135721647E-3</v>
          </cell>
          <cell r="CA12">
            <v>-2.7039963658112828E-2</v>
          </cell>
          <cell r="CB12">
            <v>0.18266394295342531</v>
          </cell>
          <cell r="CC12">
            <v>-2.4580959025076617E-2</v>
          </cell>
          <cell r="CD12">
            <v>-1.4685028952301431E-2</v>
          </cell>
          <cell r="CE12">
            <v>-4.3930792369275828E-3</v>
          </cell>
          <cell r="CF12">
            <v>-7.6389530759051263E-3</v>
          </cell>
          <cell r="CG12">
            <v>4.1331061773049321E-2</v>
          </cell>
          <cell r="CH12">
            <v>2.6427243981809664E-2</v>
          </cell>
          <cell r="CI12">
            <v>5.2993491644497528E-2</v>
          </cell>
          <cell r="CJ12">
            <v>4.4344015663635578E-2</v>
          </cell>
          <cell r="CK12">
            <v>0.21428149294647086</v>
          </cell>
          <cell r="CL12">
            <v>1.418709976274752E-2</v>
          </cell>
          <cell r="CM12">
            <v>0.43610363528159685</v>
          </cell>
          <cell r="CN12">
            <v>6.3719313962730811E-3</v>
          </cell>
          <cell r="CO12">
            <v>-8.2769721165427274E-4</v>
          </cell>
          <cell r="CP12">
            <v>-2.8202533602179825E-2</v>
          </cell>
          <cell r="CQ12">
            <v>1.2523257859023522E-2</v>
          </cell>
          <cell r="CR12">
            <v>3.667234222572345E-2</v>
          </cell>
          <cell r="CS12">
            <v>-6.4575729065624726E-3</v>
          </cell>
          <cell r="CT12">
            <v>-2.6167318933839615E-2</v>
          </cell>
        </row>
        <row r="13">
          <cell r="BY13">
            <v>6.2801201479627837E-3</v>
          </cell>
          <cell r="BZ13">
            <v>1.4423448156055837E-2</v>
          </cell>
          <cell r="CA13">
            <v>7.8596104443963352E-3</v>
          </cell>
          <cell r="CC13">
            <v>9.2056058365802725E-3</v>
          </cell>
          <cell r="CD13">
            <v>1.234787069286852E-2</v>
          </cell>
          <cell r="CE13">
            <v>1.5098821389754101E-2</v>
          </cell>
          <cell r="CF13">
            <v>1.4260616115329489E-2</v>
          </cell>
          <cell r="CG13">
            <v>2.9777954384160071E-2</v>
          </cell>
          <cell r="CH13">
            <v>2.7097349161711734E-2</v>
          </cell>
          <cell r="CI13">
            <v>4.1354578441468615E-2</v>
          </cell>
          <cell r="CJ13">
            <v>3.7343439921084152E-2</v>
          </cell>
          <cell r="CL13">
            <v>2.4584072232576536E-2</v>
          </cell>
          <cell r="CN13">
            <v>2.6876255967629124E-2</v>
          </cell>
          <cell r="CO13">
            <v>1.7599008215953449E-2</v>
          </cell>
          <cell r="CP13">
            <v>5.9679206169146078E-3</v>
          </cell>
          <cell r="CQ13">
            <v>2.2768650577124606E-2</v>
          </cell>
          <cell r="CR13">
            <v>3.4735946981437338E-2</v>
          </cell>
          <cell r="CS13">
            <v>1.8806858690832252E-2</v>
          </cell>
          <cell r="CT13">
            <v>6.7102533215759779E-3</v>
          </cell>
        </row>
        <row r="14">
          <cell r="BY14">
            <v>-0.3690030717987165</v>
          </cell>
          <cell r="BZ14">
            <v>-0.50650200938800005</v>
          </cell>
          <cell r="CA14">
            <v>-0.18655030485503379</v>
          </cell>
          <cell r="CB14">
            <v>-0.81425147479496929</v>
          </cell>
          <cell r="CC14">
            <v>-0.31954475194591431</v>
          </cell>
          <cell r="CD14">
            <v>-0.41530864470878448</v>
          </cell>
          <cell r="CE14">
            <v>-0.51884606983498383</v>
          </cell>
          <cell r="CF14">
            <v>-0.52746535114817672</v>
          </cell>
          <cell r="CG14">
            <v>-1.3286324308807498</v>
          </cell>
          <cell r="CH14">
            <v>-0.93627778359361524</v>
          </cell>
          <cell r="CI14">
            <v>-0.40572663067544007</v>
          </cell>
          <cell r="CJ14">
            <v>-0.41157988943932761</v>
          </cell>
          <cell r="CK14">
            <v>-0.86560713799703282</v>
          </cell>
          <cell r="CL14">
            <v>-0.4100925518977287</v>
          </cell>
          <cell r="CM14">
            <v>-0.72287479651364672</v>
          </cell>
          <cell r="CN14">
            <v>-0.17049676875355002</v>
          </cell>
          <cell r="CO14">
            <v>-0.60646961497356289</v>
          </cell>
          <cell r="CP14">
            <v>-0.37802149515451122</v>
          </cell>
          <cell r="CQ14">
            <v>-0.5040188980775433</v>
          </cell>
          <cell r="CR14">
            <v>-0.52828471326667992</v>
          </cell>
          <cell r="CS14">
            <v>-0.49954963336229746</v>
          </cell>
          <cell r="CT14">
            <v>-0.62860869188536994</v>
          </cell>
        </row>
        <row r="15">
          <cell r="BY15">
            <v>-8.2899999999999991</v>
          </cell>
          <cell r="BZ15">
            <v>-8.0919668266055638</v>
          </cell>
          <cell r="CA15">
            <v>-7.5090954674839168</v>
          </cell>
          <cell r="CB15">
            <v>-6.44</v>
          </cell>
          <cell r="CC15">
            <v>-9.27</v>
          </cell>
          <cell r="CD15">
            <v>-7.63</v>
          </cell>
          <cell r="CE15">
            <v>-8.2251155602070209</v>
          </cell>
          <cell r="CF15">
            <v>-8.4694558415012189</v>
          </cell>
          <cell r="CG15">
            <v>-10.908963593492622</v>
          </cell>
          <cell r="CH15">
            <v>-9.7587170281152709</v>
          </cell>
          <cell r="CI15">
            <v>-7.5370999999999997</v>
          </cell>
          <cell r="CJ15">
            <v>-7.5513000000000003</v>
          </cell>
          <cell r="CK15">
            <v>-6.03</v>
          </cell>
          <cell r="CL15">
            <v>-9.2544656556370199</v>
          </cell>
          <cell r="CM15">
            <v>-2.5099999999999998</v>
          </cell>
          <cell r="CN15">
            <v>-7.4394</v>
          </cell>
          <cell r="CO15">
            <v>-8.0556000000000001</v>
          </cell>
          <cell r="CP15">
            <v>-10.053433872427901</v>
          </cell>
          <cell r="CQ15">
            <v>-7.5137585990000009</v>
          </cell>
          <cell r="CR15">
            <v>-9.7485510325030607</v>
          </cell>
          <cell r="CS15">
            <v>-8.5129999999999999</v>
          </cell>
          <cell r="CT15">
            <v>-8.4558606147766113</v>
          </cell>
        </row>
        <row r="16">
          <cell r="BY16">
            <v>7.13</v>
          </cell>
          <cell r="BZ16">
            <v>8.7966741107309208</v>
          </cell>
          <cell r="CA16">
            <v>8.9139339714068289</v>
          </cell>
          <cell r="CB16">
            <v>7.63</v>
          </cell>
          <cell r="CC16">
            <v>9.7200000000000006</v>
          </cell>
          <cell r="CD16">
            <v>7.97</v>
          </cell>
          <cell r="CE16">
            <v>8.9443704332136402</v>
          </cell>
          <cell r="CF16">
            <v>8.3803511272591411</v>
          </cell>
          <cell r="CG16">
            <v>4.952962990124159</v>
          </cell>
          <cell r="CH16">
            <v>6.3104205160452231</v>
          </cell>
          <cell r="CI16">
            <v>8.7512000000000008</v>
          </cell>
          <cell r="CJ16">
            <v>8.2220499999999994</v>
          </cell>
          <cell r="CK16">
            <v>7.99</v>
          </cell>
          <cell r="CL16">
            <v>9.90465380220407</v>
          </cell>
          <cell r="CM16">
            <v>7.07</v>
          </cell>
          <cell r="CN16">
            <v>8.2576000000000001</v>
          </cell>
          <cell r="CO16">
            <v>7.2920999999999996</v>
          </cell>
          <cell r="CP16">
            <v>10.2560832321386</v>
          </cell>
          <cell r="CQ16">
            <v>7.8102134350999997</v>
          </cell>
          <cell r="CR16">
            <v>9.2541806896938006</v>
          </cell>
          <cell r="CS16">
            <v>7.2298999999999998</v>
          </cell>
          <cell r="CT16">
            <v>7.9776786267757416</v>
          </cell>
        </row>
        <row r="17">
          <cell r="BY17">
            <v>0.96472284499666583</v>
          </cell>
          <cell r="BZ17">
            <v>0.94530587384322962</v>
          </cell>
          <cell r="CA17">
            <v>0.86140341569030332</v>
          </cell>
          <cell r="CB17">
            <v>0.9964245395300847</v>
          </cell>
          <cell r="CC17">
            <v>0.8843168395561084</v>
          </cell>
          <cell r="CD17">
            <v>0.97287445343114665</v>
          </cell>
          <cell r="CE17">
            <v>0.9699998177061937</v>
          </cell>
          <cell r="CF17">
            <v>0.97674279266714092</v>
          </cell>
          <cell r="CG17">
            <v>0.84518544476491153</v>
          </cell>
          <cell r="CH17">
            <v>0.89771810043175648</v>
          </cell>
          <cell r="CI17">
            <v>0.99593708590797658</v>
          </cell>
          <cell r="CJ17">
            <v>0.97449193966800873</v>
          </cell>
          <cell r="CK17">
            <v>0.99952259111576336</v>
          </cell>
          <cell r="CL17">
            <v>0.96870146291451742</v>
          </cell>
          <cell r="CM17">
            <v>0.97971245576995036</v>
          </cell>
          <cell r="CN17">
            <v>0.74772047827743304</v>
          </cell>
          <cell r="CO17">
            <v>0.94482281091981235</v>
          </cell>
          <cell r="CP17">
            <v>0.90490633313071467</v>
          </cell>
          <cell r="CQ17">
            <v>0.97038213980053878</v>
          </cell>
          <cell r="CR17">
            <v>0.58688175087159666</v>
          </cell>
          <cell r="CS17">
            <v>0.99139187273331886</v>
          </cell>
          <cell r="CT17">
            <v>0.92961530409230264</v>
          </cell>
        </row>
        <row r="19">
          <cell r="BY19">
            <v>3.7574310523015582</v>
          </cell>
          <cell r="BZ19">
            <v>3.6165089453258283</v>
          </cell>
          <cell r="CA19">
            <v>6.1865063264658824</v>
          </cell>
          <cell r="CB19">
            <v>1.6478453659248498</v>
          </cell>
          <cell r="CC19">
            <v>6.3933431433408447</v>
          </cell>
          <cell r="CD19">
            <v>2.5737979330561442</v>
          </cell>
          <cell r="CE19">
            <v>2.6965913857460242</v>
          </cell>
          <cell r="CF19">
            <v>2.3495809775698611</v>
          </cell>
          <cell r="CG19">
            <v>6.2854780180695773</v>
          </cell>
          <cell r="CH19">
            <v>4.8032952577045585</v>
          </cell>
          <cell r="CI19">
            <v>1.082554573331123</v>
          </cell>
          <cell r="CJ19">
            <v>2.81493915234556</v>
          </cell>
          <cell r="CK19">
            <v>0.5947220779490201</v>
          </cell>
          <cell r="CL19">
            <v>3.1467201978231154</v>
          </cell>
          <cell r="CM19">
            <v>4.8819898624092479</v>
          </cell>
          <cell r="CN19">
            <v>9.1100842168368636</v>
          </cell>
          <cell r="CO19">
            <v>3.7593964706683276</v>
          </cell>
          <cell r="CP19">
            <v>5.587094006699111</v>
          </cell>
          <cell r="CQ19">
            <v>2.7581141204301893</v>
          </cell>
          <cell r="CR19">
            <v>11.527553751355777</v>
          </cell>
          <cell r="CS19">
            <v>1.9093210202419992</v>
          </cell>
          <cell r="CT19">
            <v>5.7343946387386966</v>
          </cell>
        </row>
        <row r="21">
          <cell r="BY21">
            <v>2.3454850919560677E-2</v>
          </cell>
          <cell r="BZ21">
            <v>3.9914513895931369E-2</v>
          </cell>
          <cell r="CA21">
            <v>2.2543245609246698E-2</v>
          </cell>
          <cell r="CB21">
            <v>0.34232407403481435</v>
          </cell>
          <cell r="CC21">
            <v>2.7382072020558423E-2</v>
          </cell>
          <cell r="CD21">
            <v>3.3791973241605433E-2</v>
          </cell>
          <cell r="CE21">
            <v>4.4132798517972915E-2</v>
          </cell>
          <cell r="CF21">
            <v>4.0265577405378838E-2</v>
          </cell>
          <cell r="CG21">
            <v>8.2750974400597421E-2</v>
          </cell>
          <cell r="CH21">
            <v>6.8198040285347039E-2</v>
          </cell>
          <cell r="CI21">
            <v>0.10867539151539174</v>
          </cell>
          <cell r="CJ21">
            <v>0.10490090826520659</v>
          </cell>
          <cell r="CK21">
            <v>0.37543057453712159</v>
          </cell>
          <cell r="CL21">
            <v>6.8578239674239372E-2</v>
          </cell>
          <cell r="CM21">
            <v>0.50053095503321043</v>
          </cell>
          <cell r="CN21">
            <v>6.5094816279832379E-2</v>
          </cell>
          <cell r="CO21">
            <v>4.9250659637343208E-2</v>
          </cell>
          <cell r="CP21">
            <v>2.2248601999051987E-2</v>
          </cell>
          <cell r="CQ21">
            <v>6.0747181839935882E-2</v>
          </cell>
          <cell r="CR21">
            <v>0.10548687175753657</v>
          </cell>
          <cell r="CS21">
            <v>5.3286375433688526E-2</v>
          </cell>
          <cell r="CT21">
            <v>2.8224374251976991E-2</v>
          </cell>
        </row>
        <row r="22">
          <cell r="BY22">
            <v>-2.447834482745237E-2</v>
          </cell>
          <cell r="BZ22">
            <v>-8.0186818510816771E-3</v>
          </cell>
          <cell r="CA22">
            <v>-2.5389950137766348E-2</v>
          </cell>
          <cell r="CB22">
            <v>0.29439087828780131</v>
          </cell>
          <cell r="CC22">
            <v>-2.0551123726454623E-2</v>
          </cell>
          <cell r="CD22">
            <v>-1.4141222505407613E-2</v>
          </cell>
          <cell r="CE22">
            <v>-3.8003972290401311E-3</v>
          </cell>
          <cell r="CF22">
            <v>-7.6676183416342081E-3</v>
          </cell>
          <cell r="CG22">
            <v>3.4817778653584375E-2</v>
          </cell>
          <cell r="CH22">
            <v>2.0264844538333993E-2</v>
          </cell>
          <cell r="CI22">
            <v>6.0742195768378693E-2</v>
          </cell>
          <cell r="CJ22">
            <v>5.6967712518193547E-2</v>
          </cell>
          <cell r="CK22">
            <v>0.32749737879010854</v>
          </cell>
          <cell r="CL22">
            <v>2.0645043927226325E-2</v>
          </cell>
          <cell r="CM22">
            <v>0.45259775928619739</v>
          </cell>
          <cell r="CN22">
            <v>1.7161620532819333E-2</v>
          </cell>
          <cell r="CO22">
            <v>1.3174638903301616E-3</v>
          </cell>
          <cell r="CP22">
            <v>-2.568459374796106E-2</v>
          </cell>
          <cell r="CQ22">
            <v>1.2813986092922836E-2</v>
          </cell>
          <cell r="CR22">
            <v>5.7553676010523525E-2</v>
          </cell>
          <cell r="CS22">
            <v>5.3531796866754799E-3</v>
          </cell>
          <cell r="CT22">
            <v>-1.9708821495036055E-2</v>
          </cell>
        </row>
        <row r="23">
          <cell r="BY23">
            <v>1.6931231871941631E-2</v>
          </cell>
          <cell r="BZ23">
            <v>3.3390894848312327E-2</v>
          </cell>
          <cell r="CA23">
            <v>1.6019626561627653E-2</v>
          </cell>
          <cell r="CB23">
            <v>0.3358004549871953</v>
          </cell>
          <cell r="CC23">
            <v>2.0858452972939378E-2</v>
          </cell>
          <cell r="CD23">
            <v>2.7268354193986388E-2</v>
          </cell>
          <cell r="CE23">
            <v>3.7609179470353873E-2</v>
          </cell>
          <cell r="CF23">
            <v>3.3741958357759796E-2</v>
          </cell>
          <cell r="CG23">
            <v>7.6227355352978379E-2</v>
          </cell>
          <cell r="CH23">
            <v>6.1674421237727997E-2</v>
          </cell>
          <cell r="CI23">
            <v>0.1021517724677727</v>
          </cell>
          <cell r="CJ23">
            <v>9.8377289217587552E-2</v>
          </cell>
          <cell r="CK23">
            <v>0.36890695548950253</v>
          </cell>
          <cell r="CL23">
            <v>6.205462062662033E-2</v>
          </cell>
          <cell r="CM23">
            <v>0.49400733598559138</v>
          </cell>
          <cell r="CN23">
            <v>5.8571197232213337E-2</v>
          </cell>
          <cell r="CO23">
            <v>4.2727040589724166E-2</v>
          </cell>
          <cell r="CP23">
            <v>1.5724982951432941E-2</v>
          </cell>
          <cell r="CQ23">
            <v>5.422356279231684E-2</v>
          </cell>
          <cell r="CR23">
            <v>9.8963252709917529E-2</v>
          </cell>
          <cell r="CS23">
            <v>4.6762756386069484E-2</v>
          </cell>
          <cell r="CT23">
            <v>2.1700755204357946E-2</v>
          </cell>
        </row>
        <row r="24">
          <cell r="BY24">
            <v>-0.65146491011348107</v>
          </cell>
          <cell r="BZ24">
            <v>-0.22172437486835073</v>
          </cell>
          <cell r="CA24">
            <v>-0.41040853751572365</v>
          </cell>
          <cell r="CB24">
            <v>17.86520048394074</v>
          </cell>
          <cell r="CC24">
            <v>-0.32144565473323905</v>
          </cell>
          <cell r="CD24">
            <v>-0.54943017568656738</v>
          </cell>
          <cell r="CE24">
            <v>-0.14093337422676422</v>
          </cell>
          <cell r="CF24">
            <v>-0.32633982036936299</v>
          </cell>
          <cell r="CG24">
            <v>0.55394002736927495</v>
          </cell>
          <cell r="CH24">
            <v>0.42189462548297185</v>
          </cell>
          <cell r="CI24">
            <v>5.6110054185507892</v>
          </cell>
          <cell r="CJ24">
            <v>2.0237635499412114</v>
          </cell>
          <cell r="CK24">
            <v>55.067297975472471</v>
          </cell>
          <cell r="CL24">
            <v>0.65608133641842259</v>
          </cell>
          <cell r="CM24">
            <v>9.2707640130748192</v>
          </cell>
          <cell r="CN24">
            <v>0.18838048172048694</v>
          </cell>
          <cell r="CO24">
            <v>3.5044558364868313E-2</v>
          </cell>
          <cell r="CP24">
            <v>-0.45971293336329011</v>
          </cell>
          <cell r="CQ24">
            <v>0.46459230957869901</v>
          </cell>
          <cell r="CR24">
            <v>0.49927050657867916</v>
          </cell>
          <cell r="CS24">
            <v>0.28037085591803651</v>
          </cell>
          <cell r="CT24">
            <v>-0.34369489260284131</v>
          </cell>
        </row>
      </sheetData>
      <sheetData sheetId="5">
        <row r="2">
          <cell r="BY2" t="str">
            <v>Aberdeen</v>
          </cell>
          <cell r="BZ2" t="str">
            <v>Acadian</v>
          </cell>
          <cell r="CA2" t="str">
            <v>Amundi</v>
          </cell>
          <cell r="CB2" t="str">
            <v>Amundi-CPR</v>
          </cell>
          <cell r="CC2" t="str">
            <v>Amundi - KBIGI Water</v>
          </cell>
          <cell r="CD2" t="str">
            <v>Amundi - KBIGI Developed Equity</v>
          </cell>
          <cell r="CE2" t="str">
            <v>AQR (Equity)</v>
          </cell>
          <cell r="CF2" t="str">
            <v>AQR (Enhanced)</v>
          </cell>
          <cell r="CG2" t="str">
            <v>Arabesque (Systematic)</v>
          </cell>
          <cell r="CH2" t="str">
            <v>Arabesque (Sustainable Global Equity)</v>
          </cell>
          <cell r="CI2" t="str">
            <v>BlackRock (Alpha Tilts)</v>
          </cell>
          <cell r="CJ2" t="str">
            <v>BlackRock (BSF)</v>
          </cell>
          <cell r="CK2" t="str">
            <v>Calvert</v>
          </cell>
          <cell r="CL2" t="str">
            <v>Columbia (Equity)</v>
          </cell>
          <cell r="CM2" t="str">
            <v>Columbia (Sustainable)</v>
          </cell>
          <cell r="CN2" t="str">
            <v>GSAM (EME)</v>
          </cell>
          <cell r="CO2" t="str">
            <v>GSAM (GEP)</v>
          </cell>
          <cell r="CP2" t="str">
            <v>Jupiter</v>
          </cell>
          <cell r="CQ2" t="str">
            <v>Neuberger</v>
          </cell>
          <cell r="CR2" t="str">
            <v>Ownership</v>
          </cell>
          <cell r="CS2" t="str">
            <v>PanAgora</v>
          </cell>
          <cell r="CT2" t="str">
            <v>Robeco</v>
          </cell>
        </row>
        <row r="4">
          <cell r="BY4">
            <v>20</v>
          </cell>
          <cell r="BZ4">
            <v>83</v>
          </cell>
          <cell r="CA4">
            <v>120</v>
          </cell>
          <cell r="CB4">
            <v>6</v>
          </cell>
          <cell r="CC4">
            <v>120</v>
          </cell>
          <cell r="CD4">
            <v>120</v>
          </cell>
          <cell r="CE4">
            <v>120</v>
          </cell>
          <cell r="CF4">
            <v>120</v>
          </cell>
          <cell r="CG4">
            <v>59</v>
          </cell>
          <cell r="CH4">
            <v>120</v>
          </cell>
          <cell r="CI4">
            <v>43</v>
          </cell>
          <cell r="CJ4">
            <v>46</v>
          </cell>
          <cell r="CK4">
            <v>6</v>
          </cell>
          <cell r="CL4">
            <v>120</v>
          </cell>
          <cell r="CM4">
            <v>6</v>
          </cell>
          <cell r="CN4">
            <v>54</v>
          </cell>
          <cell r="CO4">
            <v>120</v>
          </cell>
          <cell r="CP4">
            <v>120</v>
          </cell>
          <cell r="CQ4">
            <v>65</v>
          </cell>
          <cell r="CR4">
            <v>107</v>
          </cell>
          <cell r="CS4">
            <v>19</v>
          </cell>
          <cell r="CT4">
            <v>15</v>
          </cell>
        </row>
        <row r="5">
          <cell r="BY5">
            <v>2.664999999999999E-3</v>
          </cell>
          <cell r="BZ5">
            <v>8.8339213166643109E-3</v>
          </cell>
          <cell r="CA5">
            <v>7.8446717388029868E-3</v>
          </cell>
          <cell r="CB5">
            <v>2.5950000000000001E-2</v>
          </cell>
          <cell r="CC5">
            <v>9.419166666666666E-3</v>
          </cell>
          <cell r="CD5">
            <v>9.3783333333333357E-3</v>
          </cell>
          <cell r="CE5">
            <v>1.0013327165876676E-2</v>
          </cell>
          <cell r="CF5">
            <v>9.5128714033585575E-3</v>
          </cell>
          <cell r="CG5">
            <v>7.0761633486867755E-3</v>
          </cell>
          <cell r="CH5">
            <v>1.1453282381262695E-2</v>
          </cell>
          <cell r="CI5">
            <v>9.2147674418604671E-3</v>
          </cell>
          <cell r="CJ5">
            <v>9.0007086956521726E-3</v>
          </cell>
          <cell r="CK5">
            <v>2.7949999999999999E-2</v>
          </cell>
          <cell r="CL5">
            <v>1.077830696024267E-2</v>
          </cell>
          <cell r="CM5">
            <v>3.4916666666666665E-2</v>
          </cell>
          <cell r="CN5">
            <v>6.0127037037037041E-3</v>
          </cell>
          <cell r="CO5">
            <v>9.3540250000000019E-3</v>
          </cell>
          <cell r="CP5">
            <v>7.3254034041210815E-3</v>
          </cell>
          <cell r="CQ5">
            <v>7.1481789305846179E-3</v>
          </cell>
          <cell r="CR5">
            <v>1.5977087757492351E-2</v>
          </cell>
          <cell r="CS5">
            <v>5.2310526315789471E-3</v>
          </cell>
          <cell r="CT5">
            <v>3.3429228700697423E-3</v>
          </cell>
        </row>
        <row r="6">
          <cell r="BY6">
            <v>3.8080825555652016</v>
          </cell>
          <cell r="BZ6">
            <v>3.1477226321942311</v>
          </cell>
          <cell r="CA6">
            <v>4.3226298467790389</v>
          </cell>
          <cell r="CB6">
            <v>4.7149575819937137</v>
          </cell>
          <cell r="CC6">
            <v>4.3147607689251499</v>
          </cell>
          <cell r="CD6">
            <v>3.7992085104078659</v>
          </cell>
          <cell r="CE6">
            <v>4.0659039323200936</v>
          </cell>
          <cell r="CF6">
            <v>3.7970004867424869</v>
          </cell>
          <cell r="CG6">
            <v>2.8985382135044002</v>
          </cell>
          <cell r="CH6">
            <v>3.2522248830035929</v>
          </cell>
          <cell r="CI6">
            <v>3.4044490736105901</v>
          </cell>
          <cell r="CJ6">
            <v>3.6093547941280155</v>
          </cell>
          <cell r="CK6">
            <v>4.5392941815514307</v>
          </cell>
          <cell r="CL6">
            <v>4.2115440473704036</v>
          </cell>
          <cell r="CM6">
            <v>3.2548805234942528</v>
          </cell>
          <cell r="CN6">
            <v>3.8566594720296679</v>
          </cell>
          <cell r="CO6">
            <v>4.0235266125929572</v>
          </cell>
          <cell r="CP6">
            <v>4.1792210111803687</v>
          </cell>
          <cell r="CQ6">
            <v>3.1631650192962413</v>
          </cell>
          <cell r="CR6">
            <v>5.0151882927304214</v>
          </cell>
          <cell r="CS6">
            <v>4.2093503012214795</v>
          </cell>
          <cell r="CT6">
            <v>4.4793251824575568</v>
          </cell>
        </row>
        <row r="7">
          <cell r="BY7">
            <v>13.191584931311322</v>
          </cell>
          <cell r="BZ7">
            <v>10.9040310541897</v>
          </cell>
          <cell r="CA7">
            <v>14.974029033869932</v>
          </cell>
          <cell r="CB7">
            <v>16.333092175090425</v>
          </cell>
          <cell r="CC7">
            <v>14.946769748566631</v>
          </cell>
          <cell r="CD7">
            <v>13.16084433714899</v>
          </cell>
          <cell r="CE7">
            <v>14.084704378944982</v>
          </cell>
          <cell r="CF7">
            <v>13.153195518803489</v>
          </cell>
          <cell r="CG7">
            <v>10.040830906939094</v>
          </cell>
          <cell r="CH7">
            <v>11.266037470003941</v>
          </cell>
          <cell r="CI7">
            <v>11.793357534548678</v>
          </cell>
          <cell r="CJ7">
            <v>12.503171771944055</v>
          </cell>
          <cell r="CK7">
            <v>15.724576305897722</v>
          </cell>
          <cell r="CL7">
            <v>14.58921653671961</v>
          </cell>
          <cell r="CM7">
            <v>11.275236878516861</v>
          </cell>
          <cell r="CN7">
            <v>13.359860306094291</v>
          </cell>
          <cell r="CO7">
            <v>13.937905037233001</v>
          </cell>
          <cell r="CP7">
            <v>14.477246254847554</v>
          </cell>
          <cell r="CQ7">
            <v>10.957525052291356</v>
          </cell>
          <cell r="CR7">
            <v>17.373121865067411</v>
          </cell>
          <cell r="CS7">
            <v>14.58161717714192</v>
          </cell>
          <cell r="CT7">
            <v>15.516837599278439</v>
          </cell>
        </row>
        <row r="8">
          <cell r="BY8">
            <v>0.48905651723184662</v>
          </cell>
          <cell r="BZ8">
            <v>3.1746201555643498</v>
          </cell>
          <cell r="CA8">
            <v>1.8787671897382421</v>
          </cell>
          <cell r="CB8">
            <v>7.1579201544397755</v>
          </cell>
          <cell r="CC8">
            <v>2.3620149751138602</v>
          </cell>
          <cell r="CD8">
            <v>2.7415913988400837</v>
          </cell>
          <cell r="CE8">
            <v>2.7337742006034293</v>
          </cell>
          <cell r="CF8">
            <v>2.7895612764258995</v>
          </cell>
          <cell r="CG8">
            <v>2.6882446827013045</v>
          </cell>
          <cell r="CH8">
            <v>4.132995484627874</v>
          </cell>
          <cell r="CI8">
            <v>3.0502502540083443</v>
          </cell>
          <cell r="CJ8">
            <v>2.7725102954136838</v>
          </cell>
          <cell r="CK8">
            <v>8.1642516372547345</v>
          </cell>
          <cell r="CL8">
            <v>2.8615481676602941</v>
          </cell>
          <cell r="CM8">
            <v>15.229430894779991</v>
          </cell>
          <cell r="CN8">
            <v>1.5625865264198984</v>
          </cell>
          <cell r="CO8">
            <v>2.5499648770599315</v>
          </cell>
          <cell r="CP8">
            <v>1.8030482886689829</v>
          </cell>
          <cell r="CQ8">
            <v>2.4625416164037923</v>
          </cell>
          <cell r="CR8">
            <v>3.7358954864799307</v>
          </cell>
          <cell r="CS8">
            <v>1.1511325255973037</v>
          </cell>
          <cell r="CT8">
            <v>0.52224829185414134</v>
          </cell>
        </row>
        <row r="9">
          <cell r="BY9">
            <v>1.0008548480214394</v>
          </cell>
          <cell r="BZ9">
            <v>0.62756758991199357</v>
          </cell>
          <cell r="CA9">
            <v>1.0232177707499186</v>
          </cell>
          <cell r="CB9">
            <v>1.3896144197810067</v>
          </cell>
          <cell r="CC9">
            <v>1.0251452232400586</v>
          </cell>
          <cell r="CD9">
            <v>0.96088095629527315</v>
          </cell>
          <cell r="CE9">
            <v>1.0278368291955842</v>
          </cell>
          <cell r="CF9">
            <v>0.96671973335301131</v>
          </cell>
          <cell r="CG9">
            <v>0.55420348334118541</v>
          </cell>
          <cell r="CH9">
            <v>0.77686507773826718</v>
          </cell>
          <cell r="CI9">
            <v>0.75249029829396186</v>
          </cell>
          <cell r="CJ9">
            <v>0.80932437078902741</v>
          </cell>
          <cell r="CK9">
            <v>1.3420016544128996</v>
          </cell>
          <cell r="CL9">
            <v>1.0656234692426634</v>
          </cell>
          <cell r="CM9">
            <v>0.94320433612676013</v>
          </cell>
          <cell r="CN9">
            <v>0.66921252919279106</v>
          </cell>
          <cell r="CO9">
            <v>0.99851879981883107</v>
          </cell>
          <cell r="CP9">
            <v>0.997269430464373</v>
          </cell>
          <cell r="CQ9">
            <v>0.67367120847418815</v>
          </cell>
          <cell r="CR9">
            <v>0.46085597723978311</v>
          </cell>
          <cell r="CS9">
            <v>1.1627286600995814</v>
          </cell>
          <cell r="CT9">
            <v>1.1898394337242564</v>
          </cell>
        </row>
        <row r="10">
          <cell r="BY10">
            <v>-1.0122481936767516</v>
          </cell>
          <cell r="BZ10">
            <v>0.44591818325377802</v>
          </cell>
          <cell r="CA10">
            <v>-0.29009283499943767</v>
          </cell>
          <cell r="CB10">
            <v>2.3116713065136225</v>
          </cell>
          <cell r="CC10">
            <v>-4.4146532351754586E-2</v>
          </cell>
          <cell r="CD10">
            <v>6.5843289718184039E-2</v>
          </cell>
          <cell r="CE10">
            <v>6.322234059821974E-2</v>
          </cell>
          <cell r="CF10">
            <v>7.9426656144117924E-2</v>
          </cell>
          <cell r="CG10">
            <v>0.27664747942570478</v>
          </cell>
          <cell r="CH10">
            <v>0.66676888275011326</v>
          </cell>
          <cell r="CI10">
            <v>0.3314346648520583</v>
          </cell>
          <cell r="CJ10">
            <v>0.2126770626439517</v>
          </cell>
          <cell r="CK10">
            <v>2.7704936409966434</v>
          </cell>
          <cell r="CL10">
            <v>0.12673202128989253</v>
          </cell>
          <cell r="CM10">
            <v>4.7871841896258802</v>
          </cell>
          <cell r="CN10">
            <v>-8.3887274802171452E-2</v>
          </cell>
          <cell r="CO10">
            <v>-1.5305401880341685E-3</v>
          </cell>
          <cell r="CP10">
            <v>-0.32685731379965655</v>
          </cell>
          <cell r="CQ10">
            <v>0.12191679458680599</v>
          </cell>
          <cell r="CR10">
            <v>1.7106173230054478</v>
          </cell>
          <cell r="CS10">
            <v>-0.86350821998350369</v>
          </cell>
          <cell r="CT10">
            <v>-1.1992956588367214</v>
          </cell>
        </row>
        <row r="11">
          <cell r="BY11">
            <v>1.8607769104957903E-2</v>
          </cell>
          <cell r="BZ11">
            <v>0.15923103539638192</v>
          </cell>
          <cell r="CA11">
            <v>7.9369371424810625E-2</v>
          </cell>
          <cell r="CB11">
            <v>0.2428680173655659</v>
          </cell>
          <cell r="CC11">
            <v>9.9415471283412923E-2</v>
          </cell>
          <cell r="CD11">
            <v>0.10839924869250414</v>
          </cell>
          <cell r="CE11">
            <v>0.10814229415196029</v>
          </cell>
          <cell r="CF11">
            <v>0.10956604234869104</v>
          </cell>
          <cell r="CG11">
            <v>0.14059781604192392</v>
          </cell>
          <cell r="CH11">
            <v>0.17302143115482924</v>
          </cell>
          <cell r="CI11">
            <v>0.13800073801725588</v>
          </cell>
          <cell r="CJ11">
            <v>0.12364601496881468</v>
          </cell>
          <cell r="CK11">
            <v>0.2761542046676923</v>
          </cell>
          <cell r="CL11">
            <v>0.11309375684394792</v>
          </cell>
          <cell r="CM11">
            <v>0.52554866538123268</v>
          </cell>
          <cell r="CN11">
            <v>9.0051573530045545E-2</v>
          </cell>
          <cell r="CO11">
            <v>0.10275070981026582</v>
          </cell>
          <cell r="CP11">
            <v>7.5559693920121795E-2</v>
          </cell>
          <cell r="CQ11">
            <v>0.11562651634188331</v>
          </cell>
          <cell r="CR11">
            <v>0.40655259412877542</v>
          </cell>
          <cell r="CS11">
            <v>4.1673695761088918E-2</v>
          </cell>
          <cell r="CT11">
            <v>1.9660803457114476E-2</v>
          </cell>
        </row>
        <row r="12">
          <cell r="BY12">
            <v>-8.3941602509446045E-2</v>
          </cell>
          <cell r="BZ12">
            <v>2.0085922820050409E-2</v>
          </cell>
          <cell r="CA12">
            <v>-3.0110011955667704E-2</v>
          </cell>
          <cell r="CB12">
            <v>0.17438233777497039</v>
          </cell>
          <cell r="CC12">
            <v>-1.1391009912283215E-2</v>
          </cell>
          <cell r="CD12">
            <v>3.3121963234762769E-3</v>
          </cell>
          <cell r="CE12">
            <v>3.0093906941618398E-3</v>
          </cell>
          <cell r="CF12">
            <v>5.1703491463636897E-3</v>
          </cell>
          <cell r="CG12">
            <v>1.2457672189259694E-3</v>
          </cell>
          <cell r="CH12">
            <v>5.7209382639168138E-2</v>
          </cell>
          <cell r="CI12">
            <v>1.5268351975824324E-2</v>
          </cell>
          <cell r="CJ12">
            <v>4.5098653157729374E-3</v>
          </cell>
          <cell r="CK12">
            <v>0.21336341881291729</v>
          </cell>
          <cell r="CL12">
            <v>7.9588208267173388E-3</v>
          </cell>
          <cell r="CM12">
            <v>0.48703897193665358</v>
          </cell>
          <cell r="CN12">
            <v>-4.2357531058387105E-2</v>
          </cell>
          <cell r="CO12">
            <v>-4.110615247157598E-3</v>
          </cell>
          <cell r="CP12">
            <v>-3.3043046118952243E-2</v>
          </cell>
          <cell r="CQ12">
            <v>-7.4970274447626051E-3</v>
          </cell>
          <cell r="CR12">
            <v>4.1827386276822531E-2</v>
          </cell>
          <cell r="CS12">
            <v>-5.8295541568192687E-2</v>
          </cell>
          <cell r="CT12">
            <v>-8.2655891708939527E-2</v>
          </cell>
        </row>
        <row r="13">
          <cell r="BY13">
            <v>6.9078802568043607E-3</v>
          </cell>
          <cell r="BZ13">
            <v>4.31647535657773E-2</v>
          </cell>
          <cell r="CA13">
            <v>2.7085442919949347E-2</v>
          </cell>
          <cell r="CC13">
            <v>3.9643847422017493E-2</v>
          </cell>
          <cell r="CD13">
            <v>4.2693164793203932E-2</v>
          </cell>
          <cell r="CE13">
            <v>3.9404711068305009E-2</v>
          </cell>
          <cell r="CF13">
            <v>4.0220022264205825E-2</v>
          </cell>
          <cell r="CG13">
            <v>3.0439101834630736E-2</v>
          </cell>
          <cell r="CH13">
            <v>5.7722305132996907E-2</v>
          </cell>
          <cell r="CI13">
            <v>4.2039738458120694E-2</v>
          </cell>
          <cell r="CJ13">
            <v>3.798588171953899E-2</v>
          </cell>
          <cell r="CL13">
            <v>4.0341455296546258E-2</v>
          </cell>
          <cell r="CN13">
            <v>2.7652858830199308E-2</v>
          </cell>
          <cell r="CO13">
            <v>3.6217747064457489E-2</v>
          </cell>
          <cell r="CP13">
            <v>2.6392324572961593E-2</v>
          </cell>
          <cell r="CQ13">
            <v>3.2708051308900137E-2</v>
          </cell>
          <cell r="CR13">
            <v>6.6179083027434277E-2</v>
          </cell>
          <cell r="CS13">
            <v>1.9487519081826513E-2</v>
          </cell>
          <cell r="CT13">
            <v>7.2335866427055816E-3</v>
          </cell>
        </row>
        <row r="14">
          <cell r="BY14">
            <v>-0.3690030717987165</v>
          </cell>
          <cell r="BZ14">
            <v>-0.50650200938800005</v>
          </cell>
          <cell r="CA14">
            <v>-0.47962279021900384</v>
          </cell>
          <cell r="CB14">
            <v>-0.81425147479496929</v>
          </cell>
          <cell r="CC14">
            <v>-0.26977500953904671</v>
          </cell>
          <cell r="CD14">
            <v>-0.21512534880114581</v>
          </cell>
          <cell r="CE14">
            <v>-0.28471903230782897</v>
          </cell>
          <cell r="CF14">
            <v>-0.32398063722118842</v>
          </cell>
          <cell r="CG14">
            <v>-1.3286324308807498</v>
          </cell>
          <cell r="CH14">
            <v>-0.57217625654888249</v>
          </cell>
          <cell r="CI14">
            <v>-0.40572663067544007</v>
          </cell>
          <cell r="CJ14">
            <v>-0.41157988943932761</v>
          </cell>
          <cell r="CK14">
            <v>-0.86560713799703282</v>
          </cell>
          <cell r="CL14">
            <v>-0.36475482229891271</v>
          </cell>
          <cell r="CM14">
            <v>-0.72287479651364672</v>
          </cell>
          <cell r="CN14">
            <v>-0.17049676875355002</v>
          </cell>
          <cell r="CO14">
            <v>-0.4901949824932878</v>
          </cell>
          <cell r="CP14">
            <v>-0.33474407049579752</v>
          </cell>
          <cell r="CQ14">
            <v>-0.5040188980775433</v>
          </cell>
          <cell r="CR14">
            <v>0.61862265634556157</v>
          </cell>
          <cell r="CS14">
            <v>-0.49954963336229746</v>
          </cell>
          <cell r="CT14">
            <v>-0.62860869188536994</v>
          </cell>
        </row>
        <row r="15">
          <cell r="BY15">
            <v>-8.2899999999999991</v>
          </cell>
          <cell r="BZ15">
            <v>-8.0919668266055638</v>
          </cell>
          <cell r="CA15">
            <v>-13.26310361197236</v>
          </cell>
          <cell r="CB15">
            <v>-6.44</v>
          </cell>
          <cell r="CC15">
            <v>-9.7200000000000006</v>
          </cell>
          <cell r="CD15">
            <v>-8.98</v>
          </cell>
          <cell r="CE15">
            <v>-9.5279820712640007</v>
          </cell>
          <cell r="CF15">
            <v>-9.0234948846770298</v>
          </cell>
          <cell r="CG15">
            <v>-10.908963593492622</v>
          </cell>
          <cell r="CH15">
            <v>-9.7587170281152709</v>
          </cell>
          <cell r="CI15">
            <v>-7.5370999999999997</v>
          </cell>
          <cell r="CJ15">
            <v>-7.5513000000000003</v>
          </cell>
          <cell r="CK15">
            <v>-6.03</v>
          </cell>
          <cell r="CL15">
            <v>-10.6372873419967</v>
          </cell>
          <cell r="CM15">
            <v>-2.5099999999999998</v>
          </cell>
          <cell r="CN15">
            <v>-7.4394</v>
          </cell>
          <cell r="CO15">
            <v>-10.609</v>
          </cell>
          <cell r="CP15">
            <v>-10.053433872427901</v>
          </cell>
          <cell r="CQ15">
            <v>-7.5137585990000009</v>
          </cell>
          <cell r="CR15">
            <v>-9.7485510325030607</v>
          </cell>
          <cell r="CS15">
            <v>-8.5129999999999999</v>
          </cell>
          <cell r="CT15">
            <v>-8.4558606147766113</v>
          </cell>
        </row>
        <row r="16">
          <cell r="BY16">
            <v>7.13</v>
          </cell>
          <cell r="BZ16">
            <v>8.7966741107309208</v>
          </cell>
          <cell r="CA16">
            <v>12.051864062877726</v>
          </cell>
          <cell r="CB16">
            <v>7.63</v>
          </cell>
          <cell r="CC16">
            <v>10.31</v>
          </cell>
          <cell r="CD16">
            <v>10.24</v>
          </cell>
          <cell r="CE16">
            <v>11.204370321793998</v>
          </cell>
          <cell r="CF16">
            <v>10.761286987001201</v>
          </cell>
          <cell r="CG16">
            <v>4.952962990124159</v>
          </cell>
          <cell r="CH16">
            <v>10.122458706619586</v>
          </cell>
          <cell r="CI16">
            <v>8.7512000000000008</v>
          </cell>
          <cell r="CJ16">
            <v>8.2220499999999994</v>
          </cell>
          <cell r="CK16">
            <v>7.99</v>
          </cell>
          <cell r="CL16">
            <v>11.4243397916403</v>
          </cell>
          <cell r="CM16">
            <v>7.07</v>
          </cell>
          <cell r="CN16">
            <v>8.2576000000000001</v>
          </cell>
          <cell r="CO16">
            <v>9.9658999999999995</v>
          </cell>
          <cell r="CP16">
            <v>10.2560832321386</v>
          </cell>
          <cell r="CQ16">
            <v>7.8102134350999997</v>
          </cell>
          <cell r="CR16">
            <v>22.965113167243189</v>
          </cell>
          <cell r="CS16">
            <v>7.2298999999999998</v>
          </cell>
          <cell r="CT16">
            <v>7.9776786267757416</v>
          </cell>
        </row>
        <row r="17">
          <cell r="BY17">
            <v>0.96472284499666583</v>
          </cell>
          <cell r="BZ17">
            <v>0.94530587384322962</v>
          </cell>
          <cell r="CA17">
            <v>0.91692295549471148</v>
          </cell>
          <cell r="CB17">
            <v>0.9964245395300847</v>
          </cell>
          <cell r="CC17">
            <v>0.92032557392548286</v>
          </cell>
          <cell r="CD17">
            <v>0.97969135563835752</v>
          </cell>
          <cell r="CE17">
            <v>0.97921911221544777</v>
          </cell>
          <cell r="CF17">
            <v>0.98621760363252897</v>
          </cell>
          <cell r="CG17">
            <v>0.84518544476491153</v>
          </cell>
          <cell r="CH17">
            <v>0.92528996060706914</v>
          </cell>
          <cell r="CI17">
            <v>0.99593708590797658</v>
          </cell>
          <cell r="CJ17">
            <v>0.97449193966800873</v>
          </cell>
          <cell r="CK17">
            <v>0.99952259111576336</v>
          </cell>
          <cell r="CL17">
            <v>0.98011096720332869</v>
          </cell>
          <cell r="CM17">
            <v>0.97971245576995036</v>
          </cell>
          <cell r="CN17">
            <v>0.74772047827743304</v>
          </cell>
          <cell r="CO17">
            <v>0.9613071823396433</v>
          </cell>
          <cell r="CP17">
            <v>0.92433625436790001</v>
          </cell>
          <cell r="CQ17">
            <v>0.97038213980053878</v>
          </cell>
          <cell r="CR17">
            <v>0.37263271153006383</v>
          </cell>
          <cell r="CS17">
            <v>0.99139187273331886</v>
          </cell>
          <cell r="CT17">
            <v>0.92961530409230264</v>
          </cell>
        </row>
        <row r="19">
          <cell r="BY19">
            <v>3.7574310523015582</v>
          </cell>
          <cell r="BZ19">
            <v>3.6165089453258283</v>
          </cell>
          <cell r="CA19">
            <v>5.9837159961334399</v>
          </cell>
          <cell r="CB19">
            <v>1.6478453659248498</v>
          </cell>
          <cell r="CC19">
            <v>5.8562052474960273</v>
          </cell>
          <cell r="CD19">
            <v>2.6906009249732055</v>
          </cell>
          <cell r="CE19">
            <v>2.8807695872099881</v>
          </cell>
          <cell r="CF19">
            <v>2.2215876747059506</v>
          </cell>
          <cell r="CG19">
            <v>6.2854780180695773</v>
          </cell>
          <cell r="CH19">
            <v>5.2174061719027547</v>
          </cell>
          <cell r="CI19">
            <v>1.082554573331123</v>
          </cell>
          <cell r="CJ19">
            <v>2.81493915234556</v>
          </cell>
          <cell r="CK19">
            <v>0.5947220779490201</v>
          </cell>
          <cell r="CL19">
            <v>3.026181580344212</v>
          </cell>
          <cell r="CM19">
            <v>4.8819898624092479</v>
          </cell>
          <cell r="CN19">
            <v>9.1100842168368636</v>
          </cell>
          <cell r="CO19">
            <v>3.8396470740149637</v>
          </cell>
          <cell r="CP19">
            <v>5.5243338157241615</v>
          </cell>
          <cell r="CQ19">
            <v>2.7581141204301893</v>
          </cell>
          <cell r="CR19">
            <v>17.325175187010704</v>
          </cell>
          <cell r="CS19">
            <v>1.9093210202419992</v>
          </cell>
          <cell r="CT19">
            <v>5.7343946387386966</v>
          </cell>
        </row>
        <row r="21">
          <cell r="BY21">
            <v>2.3454850919560677E-2</v>
          </cell>
          <cell r="BZ21">
            <v>0.10475941212289874</v>
          </cell>
          <cell r="CA21">
            <v>8.6043326295117017E-2</v>
          </cell>
          <cell r="CB21">
            <v>0.34232407403481435</v>
          </cell>
          <cell r="CC21">
            <v>0.10674647050234998</v>
          </cell>
          <cell r="CD21">
            <v>0.10898994874534251</v>
          </cell>
          <cell r="CE21">
            <v>0.11598380772308703</v>
          </cell>
          <cell r="CF21">
            <v>0.11075083024387133</v>
          </cell>
          <cell r="CG21">
            <v>8.2750974400597421E-2</v>
          </cell>
          <cell r="CH21">
            <v>0.13924548256448266</v>
          </cell>
          <cell r="CI21">
            <v>0.10867539151539174</v>
          </cell>
          <cell r="CJ21">
            <v>0.10490090826520659</v>
          </cell>
          <cell r="CK21">
            <v>0.37543057453712159</v>
          </cell>
          <cell r="CL21">
            <v>0.12534653651773398</v>
          </cell>
          <cell r="CM21">
            <v>0.50053095503321043</v>
          </cell>
          <cell r="CN21">
            <v>6.5094816279832379E-2</v>
          </cell>
          <cell r="CO21">
            <v>0.10742969044027961</v>
          </cell>
          <cell r="CP21">
            <v>8.0184547921782201E-2</v>
          </cell>
          <cell r="CQ21">
            <v>8.2725429995696986E-2</v>
          </cell>
          <cell r="CR21">
            <v>0.19219336806658571</v>
          </cell>
          <cell r="CS21">
            <v>5.3286375433688526E-2</v>
          </cell>
          <cell r="CT21">
            <v>2.8224374251976991E-2</v>
          </cell>
        </row>
        <row r="22">
          <cell r="BY22">
            <v>-8.4261934658701909E-2</v>
          </cell>
          <cell r="BZ22">
            <v>-2.9573734553638431E-3</v>
          </cell>
          <cell r="CA22">
            <v>-2.1673459283145569E-2</v>
          </cell>
          <cell r="CB22">
            <v>0.23460728845655177</v>
          </cell>
          <cell r="CC22">
            <v>-9.703150759126089E-4</v>
          </cell>
          <cell r="CD22">
            <v>1.273163167079927E-3</v>
          </cell>
          <cell r="CE22">
            <v>8.267022144824443E-3</v>
          </cell>
          <cell r="CF22">
            <v>3.0340446656087483E-3</v>
          </cell>
          <cell r="CG22">
            <v>-2.4965811177665165E-2</v>
          </cell>
          <cell r="CH22">
            <v>3.1528696986220073E-2</v>
          </cell>
          <cell r="CI22">
            <v>9.5860593712915332E-4</v>
          </cell>
          <cell r="CJ22">
            <v>-2.8158773130559922E-3</v>
          </cell>
          <cell r="CK22">
            <v>0.267713788958859</v>
          </cell>
          <cell r="CL22">
            <v>1.7629750939471389E-2</v>
          </cell>
          <cell r="CM22">
            <v>0.39281416945494785</v>
          </cell>
          <cell r="CN22">
            <v>-4.2621969298430207E-2</v>
          </cell>
          <cell r="CO22">
            <v>-2.8709513798297337E-4</v>
          </cell>
          <cell r="CP22">
            <v>-2.7532237656480385E-2</v>
          </cell>
          <cell r="CQ22">
            <v>-2.49913555825656E-2</v>
          </cell>
          <cell r="CR22">
            <v>8.4476582488323126E-2</v>
          </cell>
          <cell r="CS22">
            <v>-5.443041014457406E-2</v>
          </cell>
          <cell r="CT22">
            <v>-7.9492411326285595E-2</v>
          </cell>
        </row>
        <row r="23">
          <cell r="BY23">
            <v>1.8623675919560677E-2</v>
          </cell>
          <cell r="BZ23">
            <v>9.992823712289875E-2</v>
          </cell>
          <cell r="CA23">
            <v>8.1212151295117024E-2</v>
          </cell>
          <cell r="CB23">
            <v>0.33749289903481433</v>
          </cell>
          <cell r="CC23">
            <v>0.10191529550234998</v>
          </cell>
          <cell r="CD23">
            <v>0.10415877374534252</v>
          </cell>
          <cell r="CE23">
            <v>0.11115263272308704</v>
          </cell>
          <cell r="CF23">
            <v>0.10591965524387134</v>
          </cell>
          <cell r="CG23">
            <v>7.7919799400597428E-2</v>
          </cell>
          <cell r="CH23">
            <v>0.13441430756448267</v>
          </cell>
          <cell r="CI23">
            <v>0.10384421651539175</v>
          </cell>
          <cell r="CJ23">
            <v>0.1000697332652066</v>
          </cell>
          <cell r="CK23">
            <v>0.37059939953712157</v>
          </cell>
          <cell r="CL23">
            <v>0.12051536151773398</v>
          </cell>
          <cell r="CM23">
            <v>0.49569978003321041</v>
          </cell>
          <cell r="CN23">
            <v>6.0263641279832379E-2</v>
          </cell>
          <cell r="CO23">
            <v>0.10259851544027962</v>
          </cell>
          <cell r="CP23">
            <v>7.5353372921782208E-2</v>
          </cell>
          <cell r="CQ23">
            <v>7.7894254995696993E-2</v>
          </cell>
          <cell r="CR23">
            <v>0.18736219306658572</v>
          </cell>
          <cell r="CS23">
            <v>4.8455200433688526E-2</v>
          </cell>
          <cell r="CT23">
            <v>2.3393199251976991E-2</v>
          </cell>
        </row>
        <row r="24">
          <cell r="BY24">
            <v>-2.2425410735637725</v>
          </cell>
          <cell r="BZ24">
            <v>-8.1774260760120954E-2</v>
          </cell>
          <cell r="CA24">
            <v>-0.36220735237351726</v>
          </cell>
          <cell r="CB24">
            <v>14.237215051114879</v>
          </cell>
          <cell r="CC24">
            <v>-1.6569007316256417E-2</v>
          </cell>
          <cell r="CD24">
            <v>4.7318915089297607E-2</v>
          </cell>
          <cell r="CE24">
            <v>0.28697269582157092</v>
          </cell>
          <cell r="CF24">
            <v>0.13657100730946098</v>
          </cell>
          <cell r="CG24">
            <v>-0.39719828954763847</v>
          </cell>
          <cell r="CH24">
            <v>0.60429830355189229</v>
          </cell>
          <cell r="CI24">
            <v>8.8550356789813559E-2</v>
          </cell>
          <cell r="CJ24">
            <v>-0.10003332792148101</v>
          </cell>
          <cell r="CK24">
            <v>45.014940404113865</v>
          </cell>
          <cell r="CL24">
            <v>0.58257412754016236</v>
          </cell>
          <cell r="CM24">
            <v>8.046189781743939</v>
          </cell>
          <cell r="CN24">
            <v>-0.46785483299548569</v>
          </cell>
          <cell r="CO24">
            <v>-7.4771230909712119E-3</v>
          </cell>
          <cell r="CP24">
            <v>-0.49838113652933375</v>
          </cell>
          <cell r="CQ24">
            <v>-0.90610302878503224</v>
          </cell>
          <cell r="CR24">
            <v>0.48759439126282661</v>
          </cell>
          <cell r="CS24">
            <v>-2.8507731055972561</v>
          </cell>
          <cell r="CT24">
            <v>-1.3862389377472333</v>
          </cell>
        </row>
      </sheetData>
      <sheetData sheetId="6"/>
      <sheetData sheetId="7"/>
      <sheetData sheetId="8"/>
      <sheetData sheetId="9"/>
      <sheetData sheetId="10"/>
      <sheetData sheetId="1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all_Cap" xr10:uid="{E52B8BEA-701A-483E-B131-153C4C37697C}" sourceName="Small Cap">
  <extLst>
    <x:ext xmlns:x15="http://schemas.microsoft.com/office/spreadsheetml/2010/11/main" uri="{2F2917AC-EB37-4324-AD4E-5DD8C200BD13}">
      <x15:tableSlicerCache tableId="1" column="2" sortOrder="descending"/>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all Cap" xr10:uid="{67DC5CED-382B-487A-83AA-997A703EC525}" cache="Slicer_Small_Cap" caption="Small Ca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06D731-700A-4428-B58B-9156E0510BE9}" name="Table1" displayName="Table1" ref="B24:E41" totalsRowShown="0" headerRowDxfId="18" dataDxfId="16" headerRowBorderDxfId="17" tableBorderDxfId="15">
  <autoFilter ref="B24:E41" xr:uid="{5690400B-472E-4E3A-B58D-6DEABA052A79}"/>
  <sortState xmlns:xlrd2="http://schemas.microsoft.com/office/spreadsheetml/2017/richdata2" ref="B25:E41">
    <sortCondition ref="C3:C19"/>
    <sortCondition ref="D3:D19"/>
    <sortCondition ref="E3:E19"/>
  </sortState>
  <tableColumns count="4">
    <tableColumn id="1" xr3:uid="{929D7399-D72E-46B4-BF8C-6A62508988C5}" name="Strategies" dataDxfId="14" dataCellStyle="Accent5"/>
    <tableColumn id="2" xr3:uid="{3DF4E5C2-6BF7-4ABB-80DB-A14DA11D7363}" name="Small Cap" dataDxfId="13" dataCellStyle="Percent"/>
    <tableColumn id="3" xr3:uid="{35698FE8-1917-46C2-86C0-1C2546F1238B}" name="Mid Cap" dataDxfId="12" dataCellStyle="Percent"/>
    <tableColumn id="4" xr3:uid="{FAC1D2D6-609F-41B3-83AC-99CBD21B4D4E}" name="Large Cap" dataDxfId="11" dataCellStyle="Percen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93CC9B-D518-4245-94DE-FF352594052C}" name="Table13" displayName="Table13" ref="A1:G21" totalsRowShown="0" headerRowDxfId="10" dataDxfId="8" headerRowBorderDxfId="9" tableBorderDxfId="7">
  <autoFilter ref="A1:G21" xr:uid="{9B2C09D9-A04D-41C4-BD67-B572CEC6806E}"/>
  <sortState xmlns:xlrd2="http://schemas.microsoft.com/office/spreadsheetml/2017/richdata2" ref="A2:D18">
    <sortCondition ref="B1:B18"/>
  </sortState>
  <tableColumns count="7">
    <tableColumn id="1" xr3:uid="{394D35B3-1D0B-4056-88D3-378F64C08E7C}" name="Strategies" dataDxfId="6" dataCellStyle="Accent5"/>
    <tableColumn id="2" xr3:uid="{C66BAEEB-DCDF-48D2-BA80-C7EE001A5DFD}" name="Small Cap (&lt;$2bn)" dataDxfId="5" dataCellStyle="Percent"/>
    <tableColumn id="3" xr3:uid="{B965E93D-CEEA-466B-BF36-04D445AA4251}" name="Mid Cap (&lt;$10bn,&gt;$2bn)" dataDxfId="4" dataCellStyle="Percent"/>
    <tableColumn id="4" xr3:uid="{F1F68B38-5375-425F-AEAC-3B7CBAD45FBC}" name="Large Cap (&gt;$2bn)" dataDxfId="3" dataCellStyle="Percent"/>
    <tableColumn id="5" xr3:uid="{39200733-53FA-4E7A-8CAB-7E10D6CEFD40}" name="Suggested Benchmark" dataDxfId="2" dataCellStyle="Percent"/>
    <tableColumn id="7" xr3:uid="{6B724701-9FAB-4F54-AA48-82A263F30154}" name="Manager Benchmark" dataDxfId="1" dataCellStyle="Percent"/>
    <tableColumn id="6" xr3:uid="{0D74FADA-0C37-4081-8683-6FA02DE31E72}" name="Notes" dataDxfId="0" dataCellStyle="Perce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175D5-62DF-456C-A7FC-775BE76713B5}">
  <sheetPr>
    <pageSetUpPr fitToPage="1"/>
  </sheetPr>
  <dimension ref="B1:U43"/>
  <sheetViews>
    <sheetView showGridLines="0" tabSelected="1" zoomScale="50" zoomScaleNormal="50" workbookViewId="0"/>
  </sheetViews>
  <sheetFormatPr defaultColWidth="9.1796875" defaultRowHeight="14" x14ac:dyDescent="0.3"/>
  <cols>
    <col min="1" max="1" width="9.1796875" style="1"/>
    <col min="2" max="2" width="29.26953125" style="1" customWidth="1"/>
    <col min="3" max="3" width="11" style="1" customWidth="1"/>
    <col min="4" max="4" width="11.7265625" style="1" customWidth="1"/>
    <col min="5" max="5" width="14" style="1" customWidth="1"/>
    <col min="6" max="6" width="3.81640625" style="1" customWidth="1"/>
    <col min="7" max="11" width="9.1796875" style="1"/>
    <col min="12" max="12" width="4.1796875" style="1" customWidth="1"/>
    <col min="13" max="16" width="9.1796875" style="1"/>
    <col min="17" max="17" width="9.453125" style="1" customWidth="1"/>
    <col min="18" max="16384" width="9.1796875" style="1"/>
  </cols>
  <sheetData>
    <row r="1" spans="2:21" ht="34.5" customHeight="1" x14ac:dyDescent="0.35">
      <c r="B1" s="36" t="s">
        <v>0</v>
      </c>
      <c r="C1" s="36"/>
      <c r="D1" s="36"/>
      <c r="E1" s="36"/>
      <c r="F1" s="36"/>
      <c r="G1" s="36"/>
      <c r="H1" s="36"/>
      <c r="I1" s="36"/>
      <c r="J1" s="36"/>
      <c r="K1" s="36"/>
      <c r="L1" s="36"/>
      <c r="M1" s="36"/>
      <c r="N1" s="36"/>
      <c r="O1" s="36"/>
      <c r="P1" s="36"/>
      <c r="Q1" s="36"/>
      <c r="R1"/>
      <c r="S1"/>
      <c r="T1"/>
      <c r="U1"/>
    </row>
    <row r="22" spans="2:17" ht="4.5" customHeight="1" x14ac:dyDescent="0.3"/>
    <row r="23" spans="2:17" x14ac:dyDescent="0.3">
      <c r="B23" s="34" t="s">
        <v>1</v>
      </c>
      <c r="C23" s="34"/>
      <c r="D23" s="34"/>
      <c r="E23" s="34"/>
      <c r="F23" s="2"/>
      <c r="G23" s="35" t="s">
        <v>2</v>
      </c>
      <c r="H23" s="35"/>
      <c r="I23" s="35"/>
      <c r="J23" s="35"/>
      <c r="K23" s="35"/>
      <c r="L23" s="2"/>
      <c r="M23" s="35" t="s">
        <v>3</v>
      </c>
      <c r="N23" s="35"/>
      <c r="O23" s="35"/>
      <c r="P23" s="35"/>
      <c r="Q23" s="35"/>
    </row>
    <row r="24" spans="2:17" ht="14.5" thickBot="1" x14ac:dyDescent="0.35">
      <c r="B24" s="16" t="s">
        <v>4</v>
      </c>
      <c r="C24" s="17" t="s">
        <v>5</v>
      </c>
      <c r="D24" s="17" t="s">
        <v>6</v>
      </c>
      <c r="E24" s="17" t="s">
        <v>7</v>
      </c>
      <c r="F24" s="23"/>
      <c r="G24" s="24" t="s">
        <v>8</v>
      </c>
      <c r="H24" s="25" t="s">
        <v>9</v>
      </c>
      <c r="I24" s="25" t="s">
        <v>10</v>
      </c>
      <c r="J24" s="25" t="s">
        <v>11</v>
      </c>
      <c r="K24" s="26" t="s">
        <v>12</v>
      </c>
      <c r="L24" s="27"/>
      <c r="M24" s="24" t="s">
        <v>8</v>
      </c>
      <c r="N24" s="25" t="s">
        <v>9</v>
      </c>
      <c r="O24" s="25" t="s">
        <v>10</v>
      </c>
      <c r="P24" s="25" t="s">
        <v>11</v>
      </c>
      <c r="Q24" s="26" t="s">
        <v>12</v>
      </c>
    </row>
    <row r="25" spans="2:17" ht="14.5" thickTop="1" x14ac:dyDescent="0.3">
      <c r="B25" s="4" t="s">
        <v>32</v>
      </c>
      <c r="C25" s="5">
        <v>5.9855285157274149E-4</v>
      </c>
      <c r="D25" s="5">
        <v>7.0088661536141822E-2</v>
      </c>
      <c r="E25" s="5">
        <v>0.92931278561228547</v>
      </c>
      <c r="F25" s="21"/>
      <c r="G25" s="18">
        <v>1.9498479452368984</v>
      </c>
      <c r="H25" s="11" t="e">
        <f>HLOOKUP(Table1[[#This Row],[Strategies]],'[1]3 Yr'!$BY$2:$CT$20,18)</f>
        <v>#N/A</v>
      </c>
      <c r="I25" s="11" t="e">
        <f>HLOOKUP(Table1[[#This Row],[Strategies]],'[1]5 Yr'!$BY$2:$CT$19,18)</f>
        <v>#N/A</v>
      </c>
      <c r="J25" s="12" t="e">
        <f>HLOOKUP(Table1[[#This Row],[Strategies]],'[1]7 Yr'!$BY$2:$CT$19,18)</f>
        <v>#N/A</v>
      </c>
      <c r="K25" s="13" t="e">
        <f>HLOOKUP(Table1[[#This Row],[Strategies]],'[1]10 Yr'!$BY$2:$CT$19,18)</f>
        <v>#N/A</v>
      </c>
      <c r="L25" s="22"/>
      <c r="M25" s="18" t="e">
        <f>HLOOKUP(Table1[[#This Row],[Strategies]],'[1]1 Yr'!$BY$2:$CT$24,23)</f>
        <v>#N/A</v>
      </c>
      <c r="N25" s="11" t="e">
        <f>HLOOKUP(Table1[[#This Row],[Strategies]],'[1]3 Yr'!$BY$2:$CT$24,23)</f>
        <v>#N/A</v>
      </c>
      <c r="O25" s="11" t="e">
        <f>HLOOKUP(Table1[[#This Row],[Strategies]],'[1]5 Yr'!$BY$2:$CT$24,23)</f>
        <v>#N/A</v>
      </c>
      <c r="P25" s="12" t="e">
        <f>HLOOKUP(Table1[[#This Row],[Strategies]],'[1]7 Yr'!$BY$2:$CT$24,23)</f>
        <v>#N/A</v>
      </c>
      <c r="Q25" s="13" t="e">
        <f>HLOOKUP(Table1[[#This Row],[Strategies]],'[1]10 Yr'!$BY$2:$CT$24,23)</f>
        <v>#N/A</v>
      </c>
    </row>
    <row r="26" spans="2:17" x14ac:dyDescent="0.3">
      <c r="B26" s="6" t="s">
        <v>33</v>
      </c>
      <c r="C26" s="5">
        <v>0</v>
      </c>
      <c r="D26" s="5">
        <v>5.6603828473950459E-3</v>
      </c>
      <c r="E26" s="5">
        <v>0.99433961715260499</v>
      </c>
      <c r="F26" s="21"/>
      <c r="G26" s="18">
        <v>26.439743942532171</v>
      </c>
      <c r="H26" s="11">
        <f>HLOOKUP(Table1[[#This Row],[Strategies]],'[1]3 Yr'!$BY$2:$CT$20,18)</f>
        <v>5.3428774972835642</v>
      </c>
      <c r="I26" s="11">
        <f>HLOOKUP(Table1[[#This Row],[Strategies]],'[1]5 Yr'!$BY$2:$CT$19,18)</f>
        <v>5.2649959839269709</v>
      </c>
      <c r="J26" s="11">
        <f>HLOOKUP(Table1[[#This Row],[Strategies]],'[1]7 Yr'!$BY$2:$CT$19,18)</f>
        <v>4.8032952577045585</v>
      </c>
      <c r="K26" s="14">
        <f>HLOOKUP(Table1[[#This Row],[Strategies]],'[1]10 Yr'!$BY$2:$CT$19,18)</f>
        <v>5.2174061719027547</v>
      </c>
      <c r="L26" s="22"/>
      <c r="M26" s="18">
        <f>HLOOKUP(Table1[[#This Row],[Strategies]],'[1]1 Yr'!$BY$2:$CT$24,23)</f>
        <v>-0.55352949827231979</v>
      </c>
      <c r="N26" s="11">
        <f>HLOOKUP(Table1[[#This Row],[Strategies]],'[1]3 Yr'!$BY$2:$CT$24,23)</f>
        <v>0.12311312522320697</v>
      </c>
      <c r="O26" s="11">
        <f>HLOOKUP(Table1[[#This Row],[Strategies]],'[1]5 Yr'!$BY$2:$CT$24,23)</f>
        <v>0.55115876147907561</v>
      </c>
      <c r="P26" s="11">
        <f>HLOOKUP(Table1[[#This Row],[Strategies]],'[1]7 Yr'!$BY$2:$CT$24,23)</f>
        <v>0.42189462548297185</v>
      </c>
      <c r="Q26" s="14">
        <f>HLOOKUP(Table1[[#This Row],[Strategies]],'[1]10 Yr'!$BY$2:$CT$24,23)</f>
        <v>0.60429830355189229</v>
      </c>
    </row>
    <row r="27" spans="2:17" x14ac:dyDescent="0.3">
      <c r="B27" s="6" t="s">
        <v>34</v>
      </c>
      <c r="C27" s="5">
        <v>0</v>
      </c>
      <c r="D27" s="5">
        <v>9.4129378523892509E-3</v>
      </c>
      <c r="E27" s="5">
        <v>0.99058706214761072</v>
      </c>
      <c r="F27" s="21"/>
      <c r="G27" s="18">
        <v>4.6665077141490032</v>
      </c>
      <c r="H27" s="11">
        <f>HLOOKUP(Table1[[#This Row],[Strategies]],'[1]3 Yr'!$BY$2:$CT$20,18)</f>
        <v>2.5207180315794209</v>
      </c>
      <c r="I27" s="11">
        <f>HLOOKUP(Table1[[#This Row],[Strategies]],'[1]5 Yr'!$BY$2:$CT$19,18)</f>
        <v>2.81493915234556</v>
      </c>
      <c r="J27" s="11">
        <f>HLOOKUP(Table1[[#This Row],[Strategies]],'[1]7 Yr'!$BY$2:$CT$19,18)</f>
        <v>2.81493915234556</v>
      </c>
      <c r="K27" s="14">
        <f>HLOOKUP(Table1[[#This Row],[Strategies]],'[1]10 Yr'!$BY$2:$CT$19,18)</f>
        <v>2.81493915234556</v>
      </c>
      <c r="L27" s="22"/>
      <c r="M27" s="18">
        <f>HLOOKUP(Table1[[#This Row],[Strategies]],'[1]1 Yr'!$BY$2:$CT$24,23)</f>
        <v>-0.23416932496881493</v>
      </c>
      <c r="N27" s="11">
        <f>HLOOKUP(Table1[[#This Row],[Strategies]],'[1]3 Yr'!$BY$2:$CT$24,23)</f>
        <v>0.56508281137321692</v>
      </c>
      <c r="O27" s="11">
        <f>HLOOKUP(Table1[[#This Row],[Strategies]],'[1]5 Yr'!$BY$2:$CT$24,23)</f>
        <v>1.3199987141577125</v>
      </c>
      <c r="P27" s="11">
        <f>HLOOKUP(Table1[[#This Row],[Strategies]],'[1]7 Yr'!$BY$2:$CT$24,23)</f>
        <v>2.0237635499412114</v>
      </c>
      <c r="Q27" s="14">
        <f>HLOOKUP(Table1[[#This Row],[Strategies]],'[1]10 Yr'!$BY$2:$CT$24,23)</f>
        <v>-0.10003332792148101</v>
      </c>
    </row>
    <row r="28" spans="2:17" x14ac:dyDescent="0.3">
      <c r="B28" s="4" t="s">
        <v>35</v>
      </c>
      <c r="C28" s="5">
        <v>0</v>
      </c>
      <c r="D28" s="5">
        <v>1.40228559846956E-2</v>
      </c>
      <c r="E28" s="5">
        <v>0.98597714401530445</v>
      </c>
      <c r="F28" s="21"/>
      <c r="G28" s="18">
        <v>1.9892776100886473</v>
      </c>
      <c r="H28" s="12">
        <f>HLOOKUP(Table1[[#This Row],[Strategies]],'[1]3 Yr'!$BY$2:$CT$20,18)</f>
        <v>4.8819898624092479</v>
      </c>
      <c r="I28" s="12">
        <f>HLOOKUP(Table1[[#This Row],[Strategies]],'[1]5 Yr'!$BY$2:$CT$19,18)</f>
        <v>4.8819898624092479</v>
      </c>
      <c r="J28" s="12">
        <f>HLOOKUP(Table1[[#This Row],[Strategies]],'[1]7 Yr'!$BY$2:$CT$19,18)</f>
        <v>4.8819898624092479</v>
      </c>
      <c r="K28" s="13">
        <f>HLOOKUP(Table1[[#This Row],[Strategies]],'[1]10 Yr'!$BY$2:$CT$19,18)</f>
        <v>4.8819898624092479</v>
      </c>
      <c r="L28" s="22"/>
      <c r="M28" s="18">
        <f>HLOOKUP(Table1[[#This Row],[Strategies]],'[1]1 Yr'!$BY$2:$CT$24,23)</f>
        <v>8.9505990275327925</v>
      </c>
      <c r="N28" s="12">
        <f>HLOOKUP(Table1[[#This Row],[Strategies]],'[1]3 Yr'!$BY$2:$CT$24,23)</f>
        <v>7.7421521801767517</v>
      </c>
      <c r="O28" s="12">
        <f>HLOOKUP(Table1[[#This Row],[Strategies]],'[1]5 Yr'!$BY$2:$CT$24,23)</f>
        <v>8.8649755444127045</v>
      </c>
      <c r="P28" s="12">
        <f>HLOOKUP(Table1[[#This Row],[Strategies]],'[1]7 Yr'!$BY$2:$CT$24,23)</f>
        <v>9.2707640130748192</v>
      </c>
      <c r="Q28" s="13">
        <f>HLOOKUP(Table1[[#This Row],[Strategies]],'[1]10 Yr'!$BY$2:$CT$24,23)</f>
        <v>8.046189781743939</v>
      </c>
    </row>
    <row r="29" spans="2:17" x14ac:dyDescent="0.3">
      <c r="B29" s="6" t="s">
        <v>36</v>
      </c>
      <c r="C29" s="5">
        <v>0</v>
      </c>
      <c r="D29" s="5">
        <v>2.9179825669530066E-2</v>
      </c>
      <c r="E29" s="5">
        <v>0.97082017433046996</v>
      </c>
      <c r="F29" s="21"/>
      <c r="G29" s="18">
        <v>5.6602901530567413</v>
      </c>
      <c r="H29" s="11">
        <f>HLOOKUP(Table1[[#This Row],[Strategies]],'[1]3 Yr'!$BY$2:$CT$20,18)</f>
        <v>4.8819898624092479</v>
      </c>
      <c r="I29" s="11">
        <f>HLOOKUP(Table1[[#This Row],[Strategies]],'[1]5 Yr'!$BY$2:$CT$19,18)</f>
        <v>4.8819898624092479</v>
      </c>
      <c r="J29" s="11">
        <f>HLOOKUP(Table1[[#This Row],[Strategies]],'[1]7 Yr'!$BY$2:$CT$19,18)</f>
        <v>4.8819898624092479</v>
      </c>
      <c r="K29" s="14">
        <f>HLOOKUP(Table1[[#This Row],[Strategies]],'[1]10 Yr'!$BY$2:$CT$19,18)</f>
        <v>4.8819898624092479</v>
      </c>
      <c r="L29" s="22"/>
      <c r="M29" s="18">
        <f>HLOOKUP(Table1[[#This Row],[Strategies]],'[1]1 Yr'!$BY$2:$CT$24,23)</f>
        <v>8.9505990275327925</v>
      </c>
      <c r="N29" s="11">
        <f>HLOOKUP(Table1[[#This Row],[Strategies]],'[1]3 Yr'!$BY$2:$CT$24,23)</f>
        <v>7.7421521801767517</v>
      </c>
      <c r="O29" s="11">
        <f>HLOOKUP(Table1[[#This Row],[Strategies]],'[1]5 Yr'!$BY$2:$CT$24,23)</f>
        <v>8.8649755444127045</v>
      </c>
      <c r="P29" s="11">
        <f>HLOOKUP(Table1[[#This Row],[Strategies]],'[1]7 Yr'!$BY$2:$CT$24,23)</f>
        <v>9.2707640130748192</v>
      </c>
      <c r="Q29" s="14">
        <f>HLOOKUP(Table1[[#This Row],[Strategies]],'[1]10 Yr'!$BY$2:$CT$24,23)</f>
        <v>8.046189781743939</v>
      </c>
    </row>
    <row r="30" spans="2:17" x14ac:dyDescent="0.3">
      <c r="B30" s="4" t="s">
        <v>37</v>
      </c>
      <c r="C30" s="5">
        <v>0</v>
      </c>
      <c r="D30" s="5">
        <v>2.3111205320071139E-2</v>
      </c>
      <c r="E30" s="5">
        <v>0.97688879467992884</v>
      </c>
      <c r="F30" s="21"/>
      <c r="G30" s="19">
        <v>4.8819898624092479</v>
      </c>
      <c r="H30" s="12">
        <f>HLOOKUP(Table1[[#This Row],[Strategies]],'[1]3 Yr'!$BY$2:$CT$20,18)</f>
        <v>4.8819898624092479</v>
      </c>
      <c r="I30" s="12">
        <f>HLOOKUP(Table1[[#This Row],[Strategies]],'[1]5 Yr'!$BY$2:$CT$19,18)</f>
        <v>4.8819898624092479</v>
      </c>
      <c r="J30" s="12">
        <f>HLOOKUP(Table1[[#This Row],[Strategies]],'[1]7 Yr'!$BY$2:$CT$19,18)</f>
        <v>4.8819898624092479</v>
      </c>
      <c r="K30" s="13">
        <f>HLOOKUP(Table1[[#This Row],[Strategies]],'[1]10 Yr'!$BY$2:$CT$19,18)</f>
        <v>4.8819898624092479</v>
      </c>
      <c r="L30" s="22"/>
      <c r="M30" s="19">
        <f>HLOOKUP(Table1[[#This Row],[Strategies]],'[1]1 Yr'!$BY$2:$CT$24,23)</f>
        <v>8.9505990275327925</v>
      </c>
      <c r="N30" s="12">
        <f>HLOOKUP(Table1[[#This Row],[Strategies]],'[1]3 Yr'!$BY$2:$CT$24,23)</f>
        <v>7.7421521801767517</v>
      </c>
      <c r="O30" s="12">
        <f>HLOOKUP(Table1[[#This Row],[Strategies]],'[1]5 Yr'!$BY$2:$CT$24,23)</f>
        <v>8.8649755444127045</v>
      </c>
      <c r="P30" s="12">
        <f>HLOOKUP(Table1[[#This Row],[Strategies]],'[1]7 Yr'!$BY$2:$CT$24,23)</f>
        <v>9.2707640130748192</v>
      </c>
      <c r="Q30" s="13">
        <f>HLOOKUP(Table1[[#This Row],[Strategies]],'[1]10 Yr'!$BY$2:$CT$24,23)</f>
        <v>8.046189781743939</v>
      </c>
    </row>
    <row r="31" spans="2:17" x14ac:dyDescent="0.3">
      <c r="B31" s="4" t="s">
        <v>38</v>
      </c>
      <c r="C31" s="5">
        <v>3.5409935195794057E-4</v>
      </c>
      <c r="D31" s="5">
        <v>3.0329910918883322E-2</v>
      </c>
      <c r="E31" s="5">
        <v>0.96931598972915867</v>
      </c>
      <c r="F31" s="21"/>
      <c r="G31" s="18">
        <v>2.2379736713580134</v>
      </c>
      <c r="H31" s="11">
        <f>HLOOKUP(Table1[[#This Row],[Strategies]],'[1]3 Yr'!$BY$2:$CT$20,18)</f>
        <v>4.8819898624092479</v>
      </c>
      <c r="I31" s="12">
        <f>HLOOKUP(Table1[[#This Row],[Strategies]],'[1]5 Yr'!$BY$2:$CT$19,18)</f>
        <v>4.8819898624092479</v>
      </c>
      <c r="J31" s="12">
        <f>HLOOKUP(Table1[[#This Row],[Strategies]],'[1]7 Yr'!$BY$2:$CT$19,18)</f>
        <v>4.8819898624092479</v>
      </c>
      <c r="K31" s="13">
        <f>HLOOKUP(Table1[[#This Row],[Strategies]],'[1]10 Yr'!$BY$2:$CT$19,18)</f>
        <v>4.8819898624092479</v>
      </c>
      <c r="L31" s="22"/>
      <c r="M31" s="18">
        <f>HLOOKUP(Table1[[#This Row],[Strategies]],'[1]1 Yr'!$BY$2:$CT$24,23)</f>
        <v>8.9505990275327925</v>
      </c>
      <c r="N31" s="11">
        <f>HLOOKUP(Table1[[#This Row],[Strategies]],'[1]3 Yr'!$BY$2:$CT$24,23)</f>
        <v>7.7421521801767517</v>
      </c>
      <c r="O31" s="12">
        <f>HLOOKUP(Table1[[#This Row],[Strategies]],'[1]5 Yr'!$BY$2:$CT$24,23)</f>
        <v>8.8649755444127045</v>
      </c>
      <c r="P31" s="12">
        <f>HLOOKUP(Table1[[#This Row],[Strategies]],'[1]7 Yr'!$BY$2:$CT$24,23)</f>
        <v>9.2707640130748192</v>
      </c>
      <c r="Q31" s="13">
        <f>HLOOKUP(Table1[[#This Row],[Strategies]],'[1]10 Yr'!$BY$2:$CT$24,23)</f>
        <v>8.046189781743939</v>
      </c>
    </row>
    <row r="32" spans="2:17" x14ac:dyDescent="0.3">
      <c r="B32" s="4" t="s">
        <v>39</v>
      </c>
      <c r="C32" s="5">
        <v>8.2256764688303484E-4</v>
      </c>
      <c r="D32" s="5">
        <v>0.13360382125196549</v>
      </c>
      <c r="E32" s="5">
        <v>0.8655736111011515</v>
      </c>
      <c r="F32" s="21"/>
      <c r="G32" s="19">
        <v>0.5947220779490201</v>
      </c>
      <c r="H32" s="12">
        <f>HLOOKUP(Table1[[#This Row],[Strategies]],'[1]3 Yr'!$BY$2:$CT$20,18)</f>
        <v>3.2765034484470155</v>
      </c>
      <c r="I32" s="12">
        <f>HLOOKUP(Table1[[#This Row],[Strategies]],'[1]5 Yr'!$BY$2:$CT$19,18)</f>
        <v>4.0205099683953867</v>
      </c>
      <c r="J32" s="12">
        <f>HLOOKUP(Table1[[#This Row],[Strategies]],'[1]7 Yr'!$BY$2:$CT$19,18)</f>
        <v>3.7593964706683276</v>
      </c>
      <c r="K32" s="13">
        <f>HLOOKUP(Table1[[#This Row],[Strategies]],'[1]10 Yr'!$BY$2:$CT$19,18)</f>
        <v>3.8396470740149637</v>
      </c>
      <c r="L32" s="22"/>
      <c r="M32" s="19">
        <f>HLOOKUP(Table1[[#This Row],[Strategies]],'[1]1 Yr'!$BY$2:$CT$24,23)</f>
        <v>-8.9935059298227621E-2</v>
      </c>
      <c r="N32" s="12">
        <f>HLOOKUP(Table1[[#This Row],[Strategies]],'[1]3 Yr'!$BY$2:$CT$24,23)</f>
        <v>0.20986467685664215</v>
      </c>
      <c r="O32" s="12">
        <f>HLOOKUP(Table1[[#This Row],[Strategies]],'[1]5 Yr'!$BY$2:$CT$24,23)</f>
        <v>4.6755016039780523E-2</v>
      </c>
      <c r="P32" s="12">
        <f>HLOOKUP(Table1[[#This Row],[Strategies]],'[1]7 Yr'!$BY$2:$CT$24,23)</f>
        <v>3.5044558364868313E-2</v>
      </c>
      <c r="Q32" s="13">
        <f>HLOOKUP(Table1[[#This Row],[Strategies]],'[1]10 Yr'!$BY$2:$CT$24,23)</f>
        <v>-7.4771230909712119E-3</v>
      </c>
    </row>
    <row r="33" spans="2:17" x14ac:dyDescent="0.3">
      <c r="B33" s="4" t="s">
        <v>40</v>
      </c>
      <c r="C33" s="5" t="e">
        <f>#REF!/SUM(#REF!)</f>
        <v>#REF!</v>
      </c>
      <c r="D33" s="5" t="e">
        <f>SUM(#REF!)/SUM(#REF!)</f>
        <v>#REF!</v>
      </c>
      <c r="E33" s="5" t="e">
        <f>1-C33-D33</f>
        <v>#REF!</v>
      </c>
      <c r="F33" s="21"/>
      <c r="G33" s="19">
        <v>1.6478453659248498</v>
      </c>
      <c r="H33" s="12">
        <f>HLOOKUP(Table1[[#This Row],[Strategies]],'[1]3 Yr'!$BY$2:$CT$20,18)</f>
        <v>3.2765034484470155</v>
      </c>
      <c r="I33" s="12">
        <f>HLOOKUP(Table1[[#This Row],[Strategies]],'[1]5 Yr'!$BY$2:$CT$19,18)</f>
        <v>4.0205099683953867</v>
      </c>
      <c r="J33" s="12">
        <f>HLOOKUP(Table1[[#This Row],[Strategies]],'[1]7 Yr'!$BY$2:$CT$19,18)</f>
        <v>3.7593964706683276</v>
      </c>
      <c r="K33" s="13">
        <f>HLOOKUP(Table1[[#This Row],[Strategies]],'[1]10 Yr'!$BY$2:$CT$19,18)</f>
        <v>3.8396470740149637</v>
      </c>
      <c r="L33" s="22"/>
      <c r="M33" s="19">
        <f>HLOOKUP(Table1[[#This Row],[Strategies]],'[1]1 Yr'!$BY$2:$CT$24,23)</f>
        <v>-8.9935059298227621E-2</v>
      </c>
      <c r="N33" s="12">
        <f>HLOOKUP(Table1[[#This Row],[Strategies]],'[1]3 Yr'!$BY$2:$CT$24,23)</f>
        <v>0.20986467685664215</v>
      </c>
      <c r="O33" s="12">
        <f>HLOOKUP(Table1[[#This Row],[Strategies]],'[1]5 Yr'!$BY$2:$CT$24,23)</f>
        <v>4.6755016039780523E-2</v>
      </c>
      <c r="P33" s="12">
        <f>HLOOKUP(Table1[[#This Row],[Strategies]],'[1]7 Yr'!$BY$2:$CT$24,23)</f>
        <v>3.5044558364868313E-2</v>
      </c>
      <c r="Q33" s="13">
        <f>HLOOKUP(Table1[[#This Row],[Strategies]],'[1]10 Yr'!$BY$2:$CT$24,23)</f>
        <v>-7.4771230909712119E-3</v>
      </c>
    </row>
    <row r="34" spans="2:17" x14ac:dyDescent="0.3">
      <c r="B34" s="6" t="s">
        <v>41</v>
      </c>
      <c r="C34" s="5">
        <v>4.2802964257143975E-5</v>
      </c>
      <c r="D34" s="5">
        <v>2.3339535147810467E-2</v>
      </c>
      <c r="E34" s="5">
        <v>0.97661766188793231</v>
      </c>
      <c r="F34" s="21"/>
      <c r="G34" s="18">
        <v>1.9660283337649709</v>
      </c>
      <c r="H34" s="11">
        <f>HLOOKUP(Table1[[#This Row],[Strategies]],'[1]3 Yr'!$BY$2:$CT$20,18)</f>
        <v>3.2765034484470155</v>
      </c>
      <c r="I34" s="11">
        <f>HLOOKUP(Table1[[#This Row],[Strategies]],'[1]5 Yr'!$BY$2:$CT$19,18)</f>
        <v>4.0205099683953867</v>
      </c>
      <c r="J34" s="11">
        <f>HLOOKUP(Table1[[#This Row],[Strategies]],'[1]7 Yr'!$BY$2:$CT$19,18)</f>
        <v>3.7593964706683276</v>
      </c>
      <c r="K34" s="14">
        <f>HLOOKUP(Table1[[#This Row],[Strategies]],'[1]10 Yr'!$BY$2:$CT$19,18)</f>
        <v>3.8396470740149637</v>
      </c>
      <c r="L34" s="22"/>
      <c r="M34" s="18">
        <f>HLOOKUP(Table1[[#This Row],[Strategies]],'[1]1 Yr'!$BY$2:$CT$24,23)</f>
        <v>-8.9935059298227621E-2</v>
      </c>
      <c r="N34" s="11">
        <f>HLOOKUP(Table1[[#This Row],[Strategies]],'[1]3 Yr'!$BY$2:$CT$24,23)</f>
        <v>0.20986467685664215</v>
      </c>
      <c r="O34" s="11">
        <f>HLOOKUP(Table1[[#This Row],[Strategies]],'[1]5 Yr'!$BY$2:$CT$24,23)</f>
        <v>4.6755016039780523E-2</v>
      </c>
      <c r="P34" s="11">
        <f>HLOOKUP(Table1[[#This Row],[Strategies]],'[1]7 Yr'!$BY$2:$CT$24,23)</f>
        <v>3.5044558364868313E-2</v>
      </c>
      <c r="Q34" s="14">
        <f>HLOOKUP(Table1[[#This Row],[Strategies]],'[1]10 Yr'!$BY$2:$CT$24,23)</f>
        <v>-7.4771230909712119E-3</v>
      </c>
    </row>
    <row r="35" spans="2:17" x14ac:dyDescent="0.3">
      <c r="B35" s="9" t="s">
        <v>42</v>
      </c>
      <c r="C35" s="10">
        <v>5.6445220103564561E-4</v>
      </c>
      <c r="D35" s="10">
        <v>3.7393716462384138E-2</v>
      </c>
      <c r="E35" s="10">
        <v>0.96204183133658028</v>
      </c>
      <c r="F35" s="21"/>
      <c r="G35" s="20">
        <v>0.99899698156033834</v>
      </c>
      <c r="H35" s="7">
        <f>HLOOKUP(Table1[[#This Row],[Strategies]],'[1]3 Yr'!$BY$2:$CT$20,18)</f>
        <v>5.7807630162213179</v>
      </c>
      <c r="I35" s="8">
        <f>HLOOKUP(Table1[[#This Row],[Strategies]],'[1]5 Yr'!$BY$2:$CT$19,18)</f>
        <v>5.9716134052566066</v>
      </c>
      <c r="J35" s="8">
        <f>HLOOKUP(Table1[[#This Row],[Strategies]],'[1]7 Yr'!$BY$2:$CT$19,18)</f>
        <v>5.587094006699111</v>
      </c>
      <c r="K35" s="15">
        <f>HLOOKUP(Table1[[#This Row],[Strategies]],'[1]10 Yr'!$BY$2:$CT$19,18)</f>
        <v>5.5243338157241615</v>
      </c>
      <c r="L35" s="22"/>
      <c r="M35" s="20">
        <f>HLOOKUP(Table1[[#This Row],[Strategies]],'[1]1 Yr'!$BY$2:$CT$24,23)</f>
        <v>-0.60274378673339346</v>
      </c>
      <c r="N35" s="7">
        <f>HLOOKUP(Table1[[#This Row],[Strategies]],'[1]3 Yr'!$BY$2:$CT$24,23)</f>
        <v>-0.53292702353525423</v>
      </c>
      <c r="O35" s="8">
        <f>HLOOKUP(Table1[[#This Row],[Strategies]],'[1]5 Yr'!$BY$2:$CT$24,23)</f>
        <v>-0.61051701778633305</v>
      </c>
      <c r="P35" s="8">
        <f>HLOOKUP(Table1[[#This Row],[Strategies]],'[1]7 Yr'!$BY$2:$CT$24,23)</f>
        <v>-0.45971293336329011</v>
      </c>
      <c r="Q35" s="15">
        <f>HLOOKUP(Table1[[#This Row],[Strategies]],'[1]10 Yr'!$BY$2:$CT$24,23)</f>
        <v>-0.49838113652933375</v>
      </c>
    </row>
    <row r="36" spans="2:17" x14ac:dyDescent="0.3">
      <c r="B36" s="4" t="s">
        <v>43</v>
      </c>
      <c r="C36" s="5">
        <v>4.2341477346830086E-3</v>
      </c>
      <c r="D36" s="5">
        <v>1.9067822175636857E-2</v>
      </c>
      <c r="E36" s="5">
        <v>0.97669803008968015</v>
      </c>
      <c r="F36" s="21"/>
      <c r="G36" s="18">
        <v>8.5590054053956024</v>
      </c>
      <c r="H36" s="11">
        <f>HLOOKUP(Table1[[#This Row],[Strategies]],'[1]3 Yr'!$BY$2:$CT$20,18)</f>
        <v>5.7807630162213179</v>
      </c>
      <c r="I36" s="12">
        <f>HLOOKUP(Table1[[#This Row],[Strategies]],'[1]5 Yr'!$BY$2:$CT$19,18)</f>
        <v>5.9716134052566066</v>
      </c>
      <c r="J36" s="12">
        <f>HLOOKUP(Table1[[#This Row],[Strategies]],'[1]7 Yr'!$BY$2:$CT$19,18)</f>
        <v>5.587094006699111</v>
      </c>
      <c r="K36" s="13">
        <f>HLOOKUP(Table1[[#This Row],[Strategies]],'[1]10 Yr'!$BY$2:$CT$19,18)</f>
        <v>5.5243338157241615</v>
      </c>
      <c r="L36" s="22"/>
      <c r="M36" s="18">
        <f>HLOOKUP(Table1[[#This Row],[Strategies]],'[1]1 Yr'!$BY$2:$CT$24,23)</f>
        <v>-0.60274378673339346</v>
      </c>
      <c r="N36" s="11">
        <f>HLOOKUP(Table1[[#This Row],[Strategies]],'[1]3 Yr'!$BY$2:$CT$24,23)</f>
        <v>-0.53292702353525423</v>
      </c>
      <c r="O36" s="12">
        <f>HLOOKUP(Table1[[#This Row],[Strategies]],'[1]5 Yr'!$BY$2:$CT$24,23)</f>
        <v>-0.61051701778633305</v>
      </c>
      <c r="P36" s="12">
        <f>HLOOKUP(Table1[[#This Row],[Strategies]],'[1]7 Yr'!$BY$2:$CT$24,23)</f>
        <v>-0.45971293336329011</v>
      </c>
      <c r="Q36" s="13">
        <f>HLOOKUP(Table1[[#This Row],[Strategies]],'[1]10 Yr'!$BY$2:$CT$24,23)</f>
        <v>-0.49838113652933375</v>
      </c>
    </row>
    <row r="37" spans="2:17" x14ac:dyDescent="0.3">
      <c r="B37" s="6" t="s">
        <v>44</v>
      </c>
      <c r="C37" s="5">
        <v>1.2508549943293071E-2</v>
      </c>
      <c r="D37" s="5">
        <v>0.27405378430266536</v>
      </c>
      <c r="E37" s="5">
        <v>0.71343766575404155</v>
      </c>
      <c r="F37" s="21"/>
      <c r="G37" s="18">
        <v>6.6562186479194443</v>
      </c>
      <c r="H37" s="11">
        <f>HLOOKUP(Table1[[#This Row],[Strategies]],'[1]3 Yr'!$BY$2:$CT$20,18)</f>
        <v>5.7807630162213179</v>
      </c>
      <c r="I37" s="11">
        <f>HLOOKUP(Table1[[#This Row],[Strategies]],'[1]5 Yr'!$BY$2:$CT$19,18)</f>
        <v>5.9716134052566066</v>
      </c>
      <c r="J37" s="11">
        <f>HLOOKUP(Table1[[#This Row],[Strategies]],'[1]7 Yr'!$BY$2:$CT$19,18)</f>
        <v>5.587094006699111</v>
      </c>
      <c r="K37" s="14">
        <f>HLOOKUP(Table1[[#This Row],[Strategies]],'[1]10 Yr'!$BY$2:$CT$19,18)</f>
        <v>5.5243338157241615</v>
      </c>
      <c r="L37" s="22"/>
      <c r="M37" s="18">
        <f>HLOOKUP(Table1[[#This Row],[Strategies]],'[1]1 Yr'!$BY$2:$CT$24,23)</f>
        <v>-0.60274378673339346</v>
      </c>
      <c r="N37" s="11">
        <f>HLOOKUP(Table1[[#This Row],[Strategies]],'[1]3 Yr'!$BY$2:$CT$24,23)</f>
        <v>-0.53292702353525423</v>
      </c>
      <c r="O37" s="11">
        <f>HLOOKUP(Table1[[#This Row],[Strategies]],'[1]5 Yr'!$BY$2:$CT$24,23)</f>
        <v>-0.61051701778633305</v>
      </c>
      <c r="P37" s="11">
        <f>HLOOKUP(Table1[[#This Row],[Strategies]],'[1]7 Yr'!$BY$2:$CT$24,23)</f>
        <v>-0.45971293336329011</v>
      </c>
      <c r="Q37" s="14">
        <f>HLOOKUP(Table1[[#This Row],[Strategies]],'[1]10 Yr'!$BY$2:$CT$24,23)</f>
        <v>-0.49838113652933375</v>
      </c>
    </row>
    <row r="38" spans="2:17" x14ac:dyDescent="0.3">
      <c r="B38" s="9" t="s">
        <v>45</v>
      </c>
      <c r="C38" s="10">
        <v>4.5190372925935501E-2</v>
      </c>
      <c r="D38" s="10">
        <v>0.34818038758082676</v>
      </c>
      <c r="E38" s="10">
        <v>0.60662923949323777</v>
      </c>
      <c r="F38" s="21"/>
      <c r="G38" s="20">
        <v>4.3270417041168736</v>
      </c>
      <c r="H38" s="8">
        <f>HLOOKUP(Table1[[#This Row],[Strategies]],'[1]3 Yr'!$BY$2:$CT$20,18)</f>
        <v>5.7807630162213179</v>
      </c>
      <c r="I38" s="8">
        <f>HLOOKUP(Table1[[#This Row],[Strategies]],'[1]5 Yr'!$BY$2:$CT$19,18)</f>
        <v>5.9716134052566066</v>
      </c>
      <c r="J38" s="8">
        <f>HLOOKUP(Table1[[#This Row],[Strategies]],'[1]7 Yr'!$BY$2:$CT$19,18)</f>
        <v>5.587094006699111</v>
      </c>
      <c r="K38" s="15">
        <f>HLOOKUP(Table1[[#This Row],[Strategies]],'[1]10 Yr'!$BY$2:$CT$19,18)</f>
        <v>5.5243338157241615</v>
      </c>
      <c r="L38" s="22"/>
      <c r="M38" s="20">
        <f>HLOOKUP(Table1[[#This Row],[Strategies]],'[1]1 Yr'!$BY$2:$CT$24,23)</f>
        <v>-0.60274378673339346</v>
      </c>
      <c r="N38" s="8">
        <f>HLOOKUP(Table1[[#This Row],[Strategies]],'[1]3 Yr'!$BY$2:$CT$24,23)</f>
        <v>-0.53292702353525423</v>
      </c>
      <c r="O38" s="8">
        <f>HLOOKUP(Table1[[#This Row],[Strategies]],'[1]5 Yr'!$BY$2:$CT$24,23)</f>
        <v>-0.61051701778633305</v>
      </c>
      <c r="P38" s="8">
        <f>HLOOKUP(Table1[[#This Row],[Strategies]],'[1]7 Yr'!$BY$2:$CT$24,23)</f>
        <v>-0.45971293336329011</v>
      </c>
      <c r="Q38" s="15">
        <f>HLOOKUP(Table1[[#This Row],[Strategies]],'[1]10 Yr'!$BY$2:$CT$24,23)</f>
        <v>-0.49838113652933375</v>
      </c>
    </row>
    <row r="39" spans="2:17" x14ac:dyDescent="0.3">
      <c r="B39" s="4" t="s">
        <v>46</v>
      </c>
      <c r="C39" s="5">
        <v>0.31391514317041841</v>
      </c>
      <c r="D39" s="5">
        <v>9.896583767665619E-2</v>
      </c>
      <c r="E39" s="5">
        <v>0.58711901915292541</v>
      </c>
      <c r="F39" s="21"/>
      <c r="G39" s="18">
        <v>8.4691883772393837</v>
      </c>
      <c r="H39" s="11">
        <f>HLOOKUP(Table1[[#This Row],[Strategies]],'[1]3 Yr'!$BY$2:$CT$20,18)</f>
        <v>1.9945109004311139</v>
      </c>
      <c r="I39" s="12">
        <f>HLOOKUP(Table1[[#This Row],[Strategies]],'[1]5 Yr'!$BY$2:$CT$19,18)</f>
        <v>2.8256660689887139</v>
      </c>
      <c r="J39" s="12">
        <f>HLOOKUP(Table1[[#This Row],[Strategies]],'[1]7 Yr'!$BY$2:$CT$19,18)</f>
        <v>2.7581141204301893</v>
      </c>
      <c r="K39" s="13">
        <f>HLOOKUP(Table1[[#This Row],[Strategies]],'[1]10 Yr'!$BY$2:$CT$19,18)</f>
        <v>2.7581141204301893</v>
      </c>
      <c r="L39" s="22"/>
      <c r="M39" s="18">
        <f>HLOOKUP(Table1[[#This Row],[Strategies]],'[1]1 Yr'!$BY$2:$CT$24,23)</f>
        <v>-0.45051867035371118</v>
      </c>
      <c r="N39" s="11">
        <f>HLOOKUP(Table1[[#This Row],[Strategies]],'[1]3 Yr'!$BY$2:$CT$24,23)</f>
        <v>0.58819532591935197</v>
      </c>
      <c r="O39" s="12">
        <f>HLOOKUP(Table1[[#This Row],[Strategies]],'[1]5 Yr'!$BY$2:$CT$24,23)</f>
        <v>-6.2666044241299582E-2</v>
      </c>
      <c r="P39" s="12">
        <f>HLOOKUP(Table1[[#This Row],[Strategies]],'[1]7 Yr'!$BY$2:$CT$24,23)</f>
        <v>0.46459230957869901</v>
      </c>
      <c r="Q39" s="13">
        <f>HLOOKUP(Table1[[#This Row],[Strategies]],'[1]10 Yr'!$BY$2:$CT$24,23)</f>
        <v>-0.90610302878503224</v>
      </c>
    </row>
    <row r="40" spans="2:17" x14ac:dyDescent="0.3">
      <c r="B40" s="6" t="s">
        <v>47</v>
      </c>
      <c r="C40" s="5">
        <v>5.4887589672273966E-2</v>
      </c>
      <c r="D40" s="5">
        <v>0.32039448528643127</v>
      </c>
      <c r="E40" s="5">
        <v>0.62471792504129486</v>
      </c>
      <c r="F40" s="21"/>
      <c r="G40" s="18">
        <v>5.2337114373231026</v>
      </c>
      <c r="H40" s="11">
        <f>HLOOKUP(Table1[[#This Row],[Strategies]],'[1]3 Yr'!$BY$2:$CT$20,18)</f>
        <v>5.6311780692827318</v>
      </c>
      <c r="I40" s="11">
        <f>HLOOKUP(Table1[[#This Row],[Strategies]],'[1]5 Yr'!$BY$2:$CT$19,18)</f>
        <v>5.3837007777236918</v>
      </c>
      <c r="J40" s="11">
        <f>HLOOKUP(Table1[[#This Row],[Strategies]],'[1]7 Yr'!$BY$2:$CT$19,18)</f>
        <v>11.527553751355777</v>
      </c>
      <c r="K40" s="14">
        <f>HLOOKUP(Table1[[#This Row],[Strategies]],'[1]10 Yr'!$BY$2:$CT$19,18)</f>
        <v>17.325175187010704</v>
      </c>
      <c r="L40" s="22"/>
      <c r="M40" s="18">
        <f>HLOOKUP(Table1[[#This Row],[Strategies]],'[1]1 Yr'!$BY$2:$CT$24,23)</f>
        <v>1.9961657852729024</v>
      </c>
      <c r="N40" s="11">
        <f>HLOOKUP(Table1[[#This Row],[Strategies]],'[1]3 Yr'!$BY$2:$CT$24,23)</f>
        <v>1.6860857583255469</v>
      </c>
      <c r="O40" s="11">
        <f>HLOOKUP(Table1[[#This Row],[Strategies]],'[1]5 Yr'!$BY$2:$CT$24,23)</f>
        <v>1.5415133223537629</v>
      </c>
      <c r="P40" s="11">
        <f>HLOOKUP(Table1[[#This Row],[Strategies]],'[1]7 Yr'!$BY$2:$CT$24,23)</f>
        <v>0.49927050657867916</v>
      </c>
      <c r="Q40" s="14">
        <f>HLOOKUP(Table1[[#This Row],[Strategies]],'[1]10 Yr'!$BY$2:$CT$24,23)</f>
        <v>0.48759439126282661</v>
      </c>
    </row>
    <row r="41" spans="2:17" x14ac:dyDescent="0.3">
      <c r="B41" s="4" t="s">
        <v>48</v>
      </c>
      <c r="C41" s="5">
        <v>5.6445220103564561E-4</v>
      </c>
      <c r="D41" s="5">
        <v>5.0627918325236401E-2</v>
      </c>
      <c r="E41" s="5">
        <v>0.93000102141893182</v>
      </c>
      <c r="F41" s="21"/>
      <c r="G41" s="20">
        <v>3.9132312563316467</v>
      </c>
      <c r="H41" s="7">
        <f>HLOOKUP(Table1[[#This Row],[Strategies]],'[1]3 Yr'!$BY$2:$CT$20,18)</f>
        <v>1.9093210202419992</v>
      </c>
      <c r="I41" s="7">
        <f>HLOOKUP(Table1[[#This Row],[Strategies]],'[1]5 Yr'!$BY$2:$CT$19,18)</f>
        <v>1.9093210202419992</v>
      </c>
      <c r="J41" s="8">
        <f>HLOOKUP(Table1[[#This Row],[Strategies]],'[1]7 Yr'!$BY$2:$CT$19,18)</f>
        <v>1.9093210202419992</v>
      </c>
      <c r="K41" s="15">
        <f>HLOOKUP(Table1[[#This Row],[Strategies]],'[1]10 Yr'!$BY$2:$CT$19,18)</f>
        <v>1.9093210202419992</v>
      </c>
      <c r="L41" s="22"/>
      <c r="M41" s="20">
        <f>HLOOKUP(Table1[[#This Row],[Strategies]],'[1]1 Yr'!$BY$2:$CT$24,23)</f>
        <v>-0.38330576670073196</v>
      </c>
      <c r="N41" s="7">
        <f>HLOOKUP(Table1[[#This Row],[Strategies]],'[1]3 Yr'!$BY$2:$CT$24,23)</f>
        <v>-3.6281743246201827</v>
      </c>
      <c r="O41" s="7">
        <f>HLOOKUP(Table1[[#This Row],[Strategies]],'[1]5 Yr'!$BY$2:$CT$24,23)</f>
        <v>-0.75719965699650904</v>
      </c>
      <c r="P41" s="8">
        <f>HLOOKUP(Table1[[#This Row],[Strategies]],'[1]7 Yr'!$BY$2:$CT$24,23)</f>
        <v>0.28037085591803651</v>
      </c>
      <c r="Q41" s="15">
        <f>HLOOKUP(Table1[[#This Row],[Strategies]],'[1]10 Yr'!$BY$2:$CT$24,23)</f>
        <v>-2.8507731055972561</v>
      </c>
    </row>
    <row r="42" spans="2:17" x14ac:dyDescent="0.3">
      <c r="B42" s="3"/>
      <c r="C42" s="3"/>
      <c r="D42" s="3"/>
      <c r="E42" s="3"/>
      <c r="F42" s="3"/>
      <c r="G42" s="3"/>
      <c r="H42" s="3"/>
      <c r="I42" s="3"/>
      <c r="J42" s="3"/>
      <c r="K42" s="3"/>
      <c r="L42" s="3"/>
      <c r="M42" s="3"/>
      <c r="N42" s="3"/>
      <c r="O42" s="3"/>
      <c r="P42" s="3"/>
      <c r="Q42" s="3"/>
    </row>
    <row r="43" spans="2:17" x14ac:dyDescent="0.3">
      <c r="C43" s="1">
        <v>3.7393716462384138E-2</v>
      </c>
      <c r="D43" s="1">
        <v>0.96204183133658028</v>
      </c>
    </row>
  </sheetData>
  <mergeCells count="4">
    <mergeCell ref="B23:E23"/>
    <mergeCell ref="G23:K23"/>
    <mergeCell ref="M23:Q23"/>
    <mergeCell ref="B1:Q1"/>
  </mergeCells>
  <pageMargins left="0.25" right="0.25" top="0.75" bottom="0.75" header="0.3" footer="0.3"/>
  <pageSetup paperSize="17" scale="80"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36C1D-341D-4DE3-9EA5-EC67335E00A5}">
  <dimension ref="A1:G21"/>
  <sheetViews>
    <sheetView workbookViewId="0">
      <selection activeCell="A22" sqref="A22"/>
    </sheetView>
  </sheetViews>
  <sheetFormatPr defaultRowHeight="14.5" x14ac:dyDescent="0.35"/>
  <cols>
    <col min="1" max="1" width="30.54296875" bestFit="1" customWidth="1"/>
    <col min="2" max="2" width="23" customWidth="1"/>
    <col min="3" max="3" width="23" bestFit="1" customWidth="1"/>
    <col min="4" max="4" width="24" customWidth="1"/>
    <col min="5" max="5" width="24.1796875" bestFit="1" customWidth="1"/>
    <col min="6" max="6" width="25.1796875" customWidth="1"/>
    <col min="7" max="7" width="29.7265625" bestFit="1" customWidth="1"/>
  </cols>
  <sheetData>
    <row r="1" spans="1:7" ht="15" thickBot="1" x14ac:dyDescent="0.4">
      <c r="A1" s="16" t="s">
        <v>4</v>
      </c>
      <c r="B1" s="17" t="s">
        <v>25</v>
      </c>
      <c r="C1" s="17" t="s">
        <v>26</v>
      </c>
      <c r="D1" s="17" t="s">
        <v>27</v>
      </c>
      <c r="E1" s="29" t="s">
        <v>14</v>
      </c>
      <c r="F1" s="29" t="s">
        <v>18</v>
      </c>
      <c r="G1" s="29" t="s">
        <v>15</v>
      </c>
    </row>
    <row r="2" spans="1:7" ht="15" thickTop="1" x14ac:dyDescent="0.35">
      <c r="A2" s="6" t="s">
        <v>32</v>
      </c>
      <c r="B2" s="5">
        <v>0</v>
      </c>
      <c r="C2" s="5">
        <v>5.6603828473950459E-3</v>
      </c>
      <c r="D2" s="5">
        <v>0.99433961715260499</v>
      </c>
      <c r="E2" s="28" t="s">
        <v>13</v>
      </c>
      <c r="F2" s="28" t="s">
        <v>20</v>
      </c>
      <c r="G2" s="28"/>
    </row>
    <row r="3" spans="1:7" ht="17.25" customHeight="1" x14ac:dyDescent="0.35">
      <c r="A3" s="6" t="s">
        <v>33</v>
      </c>
      <c r="B3" s="5">
        <v>0</v>
      </c>
      <c r="C3" s="5">
        <v>9.4129378523892509E-3</v>
      </c>
      <c r="D3" s="5">
        <v>0.99058706214761072</v>
      </c>
      <c r="E3" s="28" t="s">
        <v>13</v>
      </c>
      <c r="F3" s="28" t="s">
        <v>23</v>
      </c>
      <c r="G3" s="30" t="s">
        <v>24</v>
      </c>
    </row>
    <row r="4" spans="1:7" x14ac:dyDescent="0.35">
      <c r="A4" s="4" t="s">
        <v>34</v>
      </c>
      <c r="B4" s="5">
        <v>0</v>
      </c>
      <c r="C4" s="5">
        <v>1.40228559846956E-2</v>
      </c>
      <c r="D4" s="5">
        <v>0.98597714401530445</v>
      </c>
      <c r="E4" s="28" t="s">
        <v>13</v>
      </c>
      <c r="F4" s="28" t="s">
        <v>20</v>
      </c>
      <c r="G4" s="28"/>
    </row>
    <row r="5" spans="1:7" ht="53.25" customHeight="1" x14ac:dyDescent="0.35">
      <c r="A5" s="4" t="s">
        <v>35</v>
      </c>
      <c r="B5" s="5">
        <v>0</v>
      </c>
      <c r="C5" s="5">
        <v>2.3111205320071139E-2</v>
      </c>
      <c r="D5" s="5">
        <v>0.97688879467992884</v>
      </c>
      <c r="E5" s="28" t="s">
        <v>16</v>
      </c>
      <c r="F5" s="28" t="s">
        <v>19</v>
      </c>
      <c r="G5" s="30" t="s">
        <v>17</v>
      </c>
    </row>
    <row r="6" spans="1:7" x14ac:dyDescent="0.35">
      <c r="A6" s="6" t="s">
        <v>36</v>
      </c>
      <c r="B6" s="5">
        <v>0</v>
      </c>
      <c r="C6" s="5">
        <v>2.9179825669530066E-2</v>
      </c>
      <c r="D6" s="5">
        <v>0.97082017433046996</v>
      </c>
      <c r="E6" s="28" t="s">
        <v>13</v>
      </c>
      <c r="F6" s="28" t="s">
        <v>22</v>
      </c>
      <c r="G6" s="28"/>
    </row>
    <row r="7" spans="1:7" x14ac:dyDescent="0.35">
      <c r="A7" s="6" t="s">
        <v>37</v>
      </c>
      <c r="B7" s="5">
        <v>4.2802964257143975E-5</v>
      </c>
      <c r="C7" s="5">
        <v>2.3339535147810467E-2</v>
      </c>
      <c r="D7" s="5">
        <v>0.97661766188793231</v>
      </c>
      <c r="E7" s="28" t="s">
        <v>13</v>
      </c>
      <c r="F7" s="5" t="s">
        <v>20</v>
      </c>
      <c r="G7" s="28"/>
    </row>
    <row r="8" spans="1:7" x14ac:dyDescent="0.35">
      <c r="A8" s="4" t="s">
        <v>38</v>
      </c>
      <c r="B8" s="5">
        <v>2.4041185124789878E-4</v>
      </c>
      <c r="C8" s="5">
        <v>2.9058418584812271E-2</v>
      </c>
      <c r="D8" s="5">
        <v>0.97070116956393981</v>
      </c>
      <c r="E8" s="28" t="s">
        <v>16</v>
      </c>
      <c r="F8" s="28" t="s">
        <v>19</v>
      </c>
      <c r="G8" s="28"/>
    </row>
    <row r="9" spans="1:7" x14ac:dyDescent="0.35">
      <c r="A9" s="4" t="s">
        <v>39</v>
      </c>
      <c r="B9" s="5">
        <v>3.5409935195794057E-4</v>
      </c>
      <c r="C9" s="5">
        <v>3.0329910918883322E-2</v>
      </c>
      <c r="D9" s="5">
        <v>0.96931598972915867</v>
      </c>
      <c r="E9" s="28" t="s">
        <v>13</v>
      </c>
      <c r="F9" s="5" t="s">
        <v>20</v>
      </c>
      <c r="G9" s="28"/>
    </row>
    <row r="10" spans="1:7" x14ac:dyDescent="0.35">
      <c r="A10" s="4" t="s">
        <v>40</v>
      </c>
      <c r="B10" s="5">
        <v>5.6445220103564561E-4</v>
      </c>
      <c r="C10" s="5">
        <v>3.7393716462384138E-2</v>
      </c>
      <c r="D10" s="5">
        <v>0.96204183133658028</v>
      </c>
      <c r="E10" s="28" t="s">
        <v>16</v>
      </c>
      <c r="F10" s="28" t="s">
        <v>19</v>
      </c>
      <c r="G10" s="28"/>
    </row>
    <row r="11" spans="1:7" x14ac:dyDescent="0.35">
      <c r="A11" s="4" t="s">
        <v>41</v>
      </c>
      <c r="B11" s="5">
        <v>5.6445220103564561E-4</v>
      </c>
      <c r="C11" s="5">
        <v>5.0627918325236401E-2</v>
      </c>
      <c r="D11" s="5">
        <v>0.93000102141893182</v>
      </c>
      <c r="E11" s="28" t="s">
        <v>13</v>
      </c>
      <c r="F11" s="5" t="s">
        <v>20</v>
      </c>
      <c r="G11" s="28"/>
    </row>
    <row r="12" spans="1:7" x14ac:dyDescent="0.35">
      <c r="A12" s="4" t="s">
        <v>42</v>
      </c>
      <c r="B12" s="5">
        <v>5.9855285157274149E-4</v>
      </c>
      <c r="C12" s="5">
        <v>7.0088661536141822E-2</v>
      </c>
      <c r="D12" s="5">
        <v>0.92931278561228547</v>
      </c>
      <c r="E12" s="28" t="s">
        <v>16</v>
      </c>
      <c r="F12" s="28" t="s">
        <v>19</v>
      </c>
      <c r="G12" s="28"/>
    </row>
    <row r="13" spans="1:7" x14ac:dyDescent="0.35">
      <c r="A13" s="4" t="s">
        <v>43</v>
      </c>
      <c r="B13" s="5">
        <v>8.2256764688303484E-4</v>
      </c>
      <c r="C13" s="5">
        <v>0.13360382125196549</v>
      </c>
      <c r="D13" s="5">
        <v>0.8655736111011515</v>
      </c>
      <c r="E13" s="28" t="s">
        <v>13</v>
      </c>
      <c r="F13" s="5" t="s">
        <v>20</v>
      </c>
      <c r="G13" s="28"/>
    </row>
    <row r="14" spans="1:7" x14ac:dyDescent="0.35">
      <c r="A14" s="4" t="s">
        <v>44</v>
      </c>
      <c r="B14" s="5">
        <v>4.2341477346830086E-3</v>
      </c>
      <c r="C14" s="5">
        <v>1.9067822175636857E-2</v>
      </c>
      <c r="D14" s="5">
        <v>0.97669803008968015</v>
      </c>
      <c r="E14" s="28" t="s">
        <v>16</v>
      </c>
      <c r="F14" s="28" t="s">
        <v>19</v>
      </c>
      <c r="G14" s="28"/>
    </row>
    <row r="15" spans="1:7" x14ac:dyDescent="0.35">
      <c r="A15" s="6" t="s">
        <v>45</v>
      </c>
      <c r="B15" s="5">
        <v>1.2508549943293071E-2</v>
      </c>
      <c r="C15" s="5">
        <v>0.27405378430266536</v>
      </c>
      <c r="D15" s="5">
        <v>0.71343766575404155</v>
      </c>
      <c r="E15" s="5"/>
      <c r="F15" s="5" t="s">
        <v>30</v>
      </c>
      <c r="G15" s="30" t="s">
        <v>24</v>
      </c>
    </row>
    <row r="16" spans="1:7" x14ac:dyDescent="0.35">
      <c r="A16" s="4" t="s">
        <v>46</v>
      </c>
      <c r="B16" s="5">
        <v>4.5190372925935501E-2</v>
      </c>
      <c r="C16" s="5">
        <v>0.34818038758082676</v>
      </c>
      <c r="D16" s="5">
        <v>0.60662923949323777</v>
      </c>
      <c r="E16" s="28" t="s">
        <v>21</v>
      </c>
      <c r="F16" s="28" t="s">
        <v>19</v>
      </c>
      <c r="G16" s="30"/>
    </row>
    <row r="17" spans="1:7" x14ac:dyDescent="0.35">
      <c r="A17" s="6" t="s">
        <v>47</v>
      </c>
      <c r="B17" s="5">
        <v>5.4887589672273966E-2</v>
      </c>
      <c r="C17" s="5">
        <v>0.32039448528643127</v>
      </c>
      <c r="D17" s="5">
        <v>0.62471792504129486</v>
      </c>
      <c r="E17" s="28" t="s">
        <v>21</v>
      </c>
      <c r="F17" s="28" t="s">
        <v>19</v>
      </c>
      <c r="G17" s="30" t="s">
        <v>28</v>
      </c>
    </row>
    <row r="18" spans="1:7" ht="38.5" x14ac:dyDescent="0.35">
      <c r="A18" s="4" t="s">
        <v>48</v>
      </c>
      <c r="B18" s="5">
        <v>0.31391514317041841</v>
      </c>
      <c r="C18" s="5">
        <v>9.896583767665619E-2</v>
      </c>
      <c r="D18" s="5">
        <v>0.58711901915292541</v>
      </c>
      <c r="E18" s="28"/>
      <c r="F18" s="30" t="s">
        <v>31</v>
      </c>
      <c r="G18" s="28" t="s">
        <v>29</v>
      </c>
    </row>
    <row r="19" spans="1:7" x14ac:dyDescent="0.35">
      <c r="A19" s="31" t="s">
        <v>49</v>
      </c>
      <c r="B19" s="5">
        <v>0</v>
      </c>
      <c r="C19" s="32">
        <v>3.4103789312016776E-2</v>
      </c>
      <c r="D19" s="32">
        <v>0.96589621068798326</v>
      </c>
      <c r="E19" s="28" t="s">
        <v>13</v>
      </c>
      <c r="F19" s="28" t="s">
        <v>20</v>
      </c>
      <c r="G19" s="28"/>
    </row>
    <row r="20" spans="1:7" x14ac:dyDescent="0.35">
      <c r="A20" s="31" t="s">
        <v>50</v>
      </c>
      <c r="B20" s="5">
        <v>0</v>
      </c>
      <c r="C20" s="32">
        <v>2.9735904025187061E-2</v>
      </c>
      <c r="D20" s="32">
        <v>0.97026409597481289</v>
      </c>
      <c r="E20" s="28" t="s">
        <v>13</v>
      </c>
      <c r="F20" s="28" t="s">
        <v>20</v>
      </c>
      <c r="G20" s="28"/>
    </row>
    <row r="21" spans="1:7" x14ac:dyDescent="0.35">
      <c r="A21" s="31" t="s">
        <v>51</v>
      </c>
      <c r="B21" s="32">
        <v>3.69936014745009E-3</v>
      </c>
      <c r="C21" s="32">
        <v>3.5095498659278683E-2</v>
      </c>
      <c r="D21" s="32">
        <v>0.96120514119327116</v>
      </c>
      <c r="E21" s="33" t="s">
        <v>13</v>
      </c>
      <c r="F21" s="28" t="s">
        <v>20</v>
      </c>
      <c r="G21" s="28"/>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Market Cap Analysis</vt:lpstr>
      <vt:lpstr>Sheet2</vt:lpstr>
      <vt:lpstr>'Market Cap Analysis'!Print_Area</vt:lpstr>
    </vt:vector>
  </TitlesOfParts>
  <Company>United Nations Office of Investment Management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intern9 EM</dc:creator>
  <cp:lastModifiedBy>Hyangju Kim</cp:lastModifiedBy>
  <cp:lastPrinted>2019-09-19T19:48:13Z</cp:lastPrinted>
  <dcterms:created xsi:type="dcterms:W3CDTF">2019-09-19T19:33:59Z</dcterms:created>
  <dcterms:modified xsi:type="dcterms:W3CDTF">2021-02-08T16:30:30Z</dcterms:modified>
</cp:coreProperties>
</file>